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9040" windowHeight="15720" tabRatio="767" activeTab="8"/>
  </bookViews>
  <sheets>
    <sheet name="Gaz Tesisatı" sheetId="1" r:id="rId1"/>
    <sheet name="Kısa Kolon" sheetId="16" r:id="rId2"/>
    <sheet name="Kolon" sheetId="3" r:id="rId3"/>
    <sheet name="Full" sheetId="2" r:id="rId4"/>
    <sheet name="HAT KAYDIRMA+KOMBİ MONTAJ " sheetId="11" r:id="rId5"/>
    <sheet name="ALTI HAZIR KOMBİ MONTAJ " sheetId="13" r:id="rId6"/>
    <sheet name="KAZAN FULL" sheetId="9" r:id="rId7"/>
    <sheet name="shut off" sheetId="17" r:id="rId8"/>
    <sheet name="DÜKKAN KAYNAKLI" sheetId="18" r:id="rId9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1" i="18"/>
  <c r="C21"/>
  <c r="D22"/>
  <c r="D23"/>
  <c r="D20"/>
  <c r="D19"/>
  <c r="D18"/>
  <c r="D17"/>
  <c r="D16"/>
  <c r="D15"/>
  <c r="D14"/>
  <c r="D13"/>
  <c r="D12"/>
  <c r="D11"/>
  <c r="D10"/>
  <c r="D9"/>
  <c r="D8"/>
  <c r="D7"/>
  <c r="D6"/>
  <c r="D5"/>
  <c r="D4"/>
  <c r="D3"/>
  <c r="F76" i="16"/>
  <c r="F75"/>
  <c r="F67"/>
  <c r="F17"/>
  <c r="F16"/>
  <c r="D40" i="17"/>
  <c r="D37"/>
  <c r="D39" s="1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8"/>
  <c r="D3"/>
  <c r="D4"/>
  <c r="D5"/>
  <c r="D6"/>
  <c r="D7"/>
  <c r="D8"/>
  <c r="D9"/>
  <c r="D10"/>
  <c r="D11"/>
  <c r="D12"/>
  <c r="D13"/>
  <c r="D14"/>
  <c r="D15"/>
  <c r="D16"/>
  <c r="D17"/>
  <c r="D2"/>
  <c r="E33" i="13"/>
  <c r="E3"/>
  <c r="E4"/>
  <c r="E5"/>
  <c r="E6"/>
  <c r="E4" i="11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0" i="2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3" i="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F4" i="16"/>
  <c r="F5"/>
  <c r="F6"/>
  <c r="F7"/>
  <c r="F8"/>
  <c r="F9"/>
  <c r="F10"/>
  <c r="F11"/>
  <c r="F12"/>
  <c r="F13"/>
  <c r="F14"/>
  <c r="F15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62"/>
  <c r="F63"/>
  <c r="F52"/>
  <c r="F53"/>
  <c r="F54"/>
  <c r="F55"/>
  <c r="F56"/>
  <c r="F57"/>
  <c r="F58"/>
  <c r="F59"/>
  <c r="F60"/>
  <c r="F61"/>
  <c r="F64"/>
  <c r="F65"/>
  <c r="F66"/>
  <c r="F68"/>
  <c r="F69"/>
  <c r="F70"/>
  <c r="F71"/>
  <c r="F72"/>
  <c r="F74"/>
  <c r="F78"/>
  <c r="F79"/>
  <c r="F80"/>
  <c r="F81"/>
  <c r="F82"/>
  <c r="F83"/>
  <c r="F84"/>
  <c r="F4" i="1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E3" i="11"/>
  <c r="D24" i="18" l="1"/>
  <c r="D25" s="1"/>
  <c r="D26" s="1"/>
  <c r="E3" i="2"/>
  <c r="F3" i="16"/>
  <c r="E2" i="3"/>
  <c r="E32" i="13"/>
  <c r="E18"/>
  <c r="E16"/>
  <c r="E17"/>
  <c r="E28"/>
  <c r="E29"/>
  <c r="E30"/>
  <c r="E31"/>
  <c r="E26"/>
  <c r="E27"/>
  <c r="E22"/>
  <c r="E23"/>
  <c r="E24"/>
  <c r="E25"/>
  <c r="E19"/>
  <c r="E20"/>
  <c r="E21"/>
  <c r="E14"/>
  <c r="E15"/>
  <c r="E13"/>
  <c r="E12"/>
  <c r="E11"/>
  <c r="E10"/>
  <c r="E9"/>
  <c r="E8"/>
  <c r="E7"/>
  <c r="D2" i="9"/>
  <c r="D3"/>
  <c r="D4"/>
  <c r="D5"/>
  <c r="D6"/>
  <c r="D7"/>
  <c r="D8"/>
  <c r="D9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E41" i="11" l="1"/>
  <c r="E54" i="3"/>
  <c r="E41" i="2"/>
  <c r="F85" i="16"/>
  <c r="F3" i="1" l="1"/>
  <c r="F48" s="1"/>
</calcChain>
</file>

<file path=xl/sharedStrings.xml><?xml version="1.0" encoding="utf-8"?>
<sst xmlns="http://schemas.openxmlformats.org/spreadsheetml/2006/main" count="463" uniqueCount="234">
  <si>
    <t>Malzeme Adı</t>
  </si>
  <si>
    <t>Fiyat</t>
  </si>
  <si>
    <t>Miktar</t>
  </si>
  <si>
    <t>Tutar</t>
  </si>
  <si>
    <t>Sayaç Seti</t>
  </si>
  <si>
    <t>3/4" Kombi Vanası</t>
  </si>
  <si>
    <t>1/2" Ocak Vanası</t>
  </si>
  <si>
    <t>Test Maşonu</t>
  </si>
  <si>
    <t>1" Açık Kuyruklu Dirsek</t>
  </si>
  <si>
    <t>1" Kuyruklu Dirsek</t>
  </si>
  <si>
    <t>3/4" Kuyruklu Dirsek</t>
  </si>
  <si>
    <t>1/2" Kuyruklu Dirsek</t>
  </si>
  <si>
    <t>3/4" Dirsek</t>
  </si>
  <si>
    <t>1/2" Dirsek</t>
  </si>
  <si>
    <t>1"     Dirsek</t>
  </si>
  <si>
    <t>3/4" Açık Dirsek</t>
  </si>
  <si>
    <t>1/2" Açık Dirsek</t>
  </si>
  <si>
    <t>1"     Açık Dirsek</t>
  </si>
  <si>
    <t>1/2"  Maşon</t>
  </si>
  <si>
    <t>3/4"  Maşon</t>
  </si>
  <si>
    <t>1"      Maşon</t>
  </si>
  <si>
    <t>1" - 3/4" - 1/2" Te</t>
  </si>
  <si>
    <t>3/4" - 1" - 1/2" Te</t>
  </si>
  <si>
    <t>1" - 1/2" - 3/4" Te</t>
  </si>
  <si>
    <t>3/4" Nipel</t>
  </si>
  <si>
    <t>1"     Nipel</t>
  </si>
  <si>
    <t>1/2" Nipel</t>
  </si>
  <si>
    <t>Ocak Flex</t>
  </si>
  <si>
    <t>Kombi Flex</t>
  </si>
  <si>
    <t>Selenoid Vana</t>
  </si>
  <si>
    <t>Gaz Teflonu</t>
  </si>
  <si>
    <t>Duvar Geçişi</t>
  </si>
  <si>
    <t>Loxeal Yapıştırıcı</t>
  </si>
  <si>
    <t>Gaz Alarm Cihazı</t>
  </si>
  <si>
    <t>Toplam</t>
  </si>
  <si>
    <t>Test Nipeli</t>
  </si>
  <si>
    <t>Sayaç Dolabı</t>
  </si>
  <si>
    <t>Proje+ Gaz Açımı</t>
  </si>
  <si>
    <t>İşcilik</t>
  </si>
  <si>
    <t>Yakıt ve Diğer</t>
  </si>
  <si>
    <t>1"     Doğalgaz Borusu (metresi)</t>
  </si>
  <si>
    <t>3/4" Doğalgaz Borusu (metresi)</t>
  </si>
  <si>
    <t>1/2" Doğalgaz Borusu (metresi)</t>
  </si>
  <si>
    <t>1 "     Kelepçe ( metreye 2 adet)</t>
  </si>
  <si>
    <t>3/4 " Kelepçe ( metreye 2 adet)</t>
  </si>
  <si>
    <t>1/2"  Kelepçe ( metreye 2 adet)</t>
  </si>
  <si>
    <t>FİYAT</t>
  </si>
  <si>
    <t>GAZ TESİSATI</t>
  </si>
  <si>
    <t>MALZEME</t>
  </si>
  <si>
    <t>AÇIKLAMA</t>
  </si>
  <si>
    <t>MİKTAR</t>
  </si>
  <si>
    <t>KUTU FLEXİ</t>
  </si>
  <si>
    <t>TOPRAKLAMA ÇUBUĞU</t>
  </si>
  <si>
    <t>TOPRAKLAMA KABLOSU</t>
  </si>
  <si>
    <t>TOPRAKLAMA PABUCU VE CİVATASI</t>
  </si>
  <si>
    <t>ALÇI</t>
  </si>
  <si>
    <t>KAT GEÇİŞİ PİMAŞ</t>
  </si>
  <si>
    <t>ELEKTROT</t>
  </si>
  <si>
    <t>AKV</t>
  </si>
  <si>
    <t>DEPREM VANASI</t>
  </si>
  <si>
    <t>NİPEL</t>
  </si>
  <si>
    <t>REKOR</t>
  </si>
  <si>
    <t xml:space="preserve">AKV DOLABI </t>
  </si>
  <si>
    <t>KÖR TAPA</t>
  </si>
  <si>
    <t>DOĞALGAZ VANASI</t>
  </si>
  <si>
    <t>POLİETİLEN BORU</t>
  </si>
  <si>
    <t>DOĞALGAZ BORUSU ÇELİK</t>
  </si>
  <si>
    <t>PATENT DİRSEK</t>
  </si>
  <si>
    <t>KELEPÇE</t>
  </si>
  <si>
    <t>KAROT</t>
  </si>
  <si>
    <t>HAVALANDIRMA</t>
  </si>
  <si>
    <t>PATENT TE</t>
  </si>
  <si>
    <t>KRUVA</t>
  </si>
  <si>
    <t>REDÜKSİYON</t>
  </si>
  <si>
    <t>SAC REKLAM PANO</t>
  </si>
  <si>
    <t>1"</t>
  </si>
  <si>
    <t>1 1/4"</t>
  </si>
  <si>
    <t>1 1/2"</t>
  </si>
  <si>
    <t>2"</t>
  </si>
  <si>
    <t>2 1/2"</t>
  </si>
  <si>
    <t>İZOLE MAFSAL</t>
  </si>
  <si>
    <t>TUTAR</t>
  </si>
  <si>
    <t>DÜBEL ( 1 PAKET )</t>
  </si>
  <si>
    <t>1 PAKET 500 ADET</t>
  </si>
  <si>
    <t>SIZDIRMAZLIK MACUNU  (FORCE 250 ML)</t>
  </si>
  <si>
    <t>1 ADET</t>
  </si>
  <si>
    <t>1"-1"-1"</t>
  </si>
  <si>
    <t>Cam Menfezi İşcilik dahil</t>
  </si>
  <si>
    <t>KESME TAŞI (SPİRAL)</t>
  </si>
  <si>
    <t>MAGNEZYUM ANOT</t>
  </si>
  <si>
    <t>1 1/4" SİYAH DİRSEK 90</t>
  </si>
  <si>
    <t>1 1/4" SİYAH MANŞON</t>
  </si>
  <si>
    <t>1 "     UZUN Kelepçe ( metreye 2 adet)</t>
  </si>
  <si>
    <t>Dübel ( 50 ADET )</t>
  </si>
  <si>
    <t>32 LİK DİRSEK</t>
  </si>
  <si>
    <t>32 LİK AÇIK DİRSEK</t>
  </si>
  <si>
    <t>32 LİK MAŞON</t>
  </si>
  <si>
    <t xml:space="preserve">25 LİK DİRSEK </t>
  </si>
  <si>
    <t>25 LİK AÇIK DİRSEK</t>
  </si>
  <si>
    <t xml:space="preserve">20 LİK DİRSEK </t>
  </si>
  <si>
    <t>20 LİK AÇIK DİRSEK</t>
  </si>
  <si>
    <t>25 LİK MAŞON</t>
  </si>
  <si>
    <t>20 LİK MAŞON</t>
  </si>
  <si>
    <t>32 LİK Te</t>
  </si>
  <si>
    <t>25 LİK Te</t>
  </si>
  <si>
    <t>20 LİK Te</t>
  </si>
  <si>
    <t>32-20-32 Te</t>
  </si>
  <si>
    <t>32-25-32 Te</t>
  </si>
  <si>
    <t>25-20-25 Te</t>
  </si>
  <si>
    <t>1/2 KROM Te</t>
  </si>
  <si>
    <t>32-25 REDÜKSİYON</t>
  </si>
  <si>
    <t>25-20 REDÜKSİYON</t>
  </si>
  <si>
    <t>32 LİK ÇİFTLİ KELEPÇE</t>
  </si>
  <si>
    <t>32 LİK TEKLİ KELEPÇE</t>
  </si>
  <si>
    <t>25 LİK ÇİFTLİ KELEPÇE</t>
  </si>
  <si>
    <t>20 LİK ÇİFTLİ KELEPÇE</t>
  </si>
  <si>
    <t>20 LİK TEKLİ KELEPÇE</t>
  </si>
  <si>
    <t xml:space="preserve">20 LİK DIŞ DİŞ NİPEL </t>
  </si>
  <si>
    <t>20 LİK DIŞ DİŞ DİRSEK</t>
  </si>
  <si>
    <t>50-50 ÇATAL</t>
  </si>
  <si>
    <t>50-50 TAKOZ CONTA</t>
  </si>
  <si>
    <t>10 LU KOMBİ ALTI BAĞLANTI SETİ</t>
  </si>
  <si>
    <t>YOĞUŞMA HORTUMU</t>
  </si>
  <si>
    <t>KENDİR</t>
  </si>
  <si>
    <t>BEYAZ TEFLON</t>
  </si>
  <si>
    <t>DÜBEL (PAKET)</t>
  </si>
  <si>
    <t>VİDA (KUTU)</t>
  </si>
  <si>
    <t>ALÇI (TORBA)</t>
  </si>
  <si>
    <t>KÖŞE RADYATÖR VANASI ( PETEK SAYISI*2)</t>
  </si>
  <si>
    <t>32 LİK KOMPOZİT PPRC BORU ( 1 BOY 4 METRE)</t>
  </si>
  <si>
    <t>25 LİK KOMPOZİT PPRC BORU ( 1 BOY 4 METRE)</t>
  </si>
  <si>
    <t>20 LİK KOMPOZİT PPRC BORU ( 1 BOY 4 METRE)</t>
  </si>
  <si>
    <t>32 LİK KÜRESEL VANA</t>
  </si>
  <si>
    <t>32 LİK DIŞ DİŞ NİPEL</t>
  </si>
  <si>
    <t>EŞANJÖR ( SICAK SU İSTENİRSE )</t>
  </si>
  <si>
    <t>10 LU KOMBİ ALTI BAĞLANTI SETİ ( EŞANJÖR OLURSA)</t>
  </si>
  <si>
    <t xml:space="preserve">32 LİK DIŞ DİŞ NİPEL </t>
  </si>
  <si>
    <t>32 LİK DIŞ DİŞ DİRSEK</t>
  </si>
  <si>
    <r>
      <rPr>
        <b/>
        <sz val="14"/>
        <color theme="1"/>
        <rFont val="Calibri"/>
        <family val="2"/>
        <charset val="162"/>
        <scheme val="minor"/>
      </rPr>
      <t>20 LİK KOMPOZİT PPRC BORU ( 1 BOY 4 METRE)</t>
    </r>
    <r>
      <rPr>
        <sz val="14"/>
        <color theme="1"/>
        <rFont val="Calibri"/>
        <family val="2"/>
        <charset val="162"/>
        <scheme val="minor"/>
      </rPr>
      <t xml:space="preserve">
</t>
    </r>
    <r>
      <rPr>
        <u/>
        <sz val="14"/>
        <color theme="1"/>
        <rFont val="Calibri"/>
        <family val="2"/>
        <charset val="162"/>
        <scheme val="minor"/>
      </rPr>
      <t>KOMBİ ALTINA SU ÇEKECEĞİMİZ EN YAKIN MUSLUKTAN KOMBİYE KADAR OLAN UZUNLUĞUN GİDİŞ DÖNÜŞÜ KADAR OLAN METRAJ + YOĞUŞMAYI ÇEKEBİLECEĞİMİZ EN YAKIN SÜZGEÇ VEYA MUTFAK ALTI ÇATALA KADAR OLAN MESAFE</t>
    </r>
  </si>
  <si>
    <r>
      <rPr>
        <b/>
        <sz val="14"/>
        <color theme="1"/>
        <rFont val="Calibri"/>
        <family val="2"/>
        <charset val="162"/>
        <scheme val="minor"/>
      </rPr>
      <t>32 LİK KOMPOZİT PPRC BORU ( 1 BOY 4 METRE)</t>
    </r>
    <r>
      <rPr>
        <sz val="14"/>
        <color theme="1"/>
        <rFont val="Calibri"/>
        <family val="2"/>
        <charset val="162"/>
        <scheme val="minor"/>
      </rPr>
      <t xml:space="preserve">
</t>
    </r>
    <r>
      <rPr>
        <u/>
        <sz val="14"/>
        <color theme="1"/>
        <rFont val="Calibri"/>
        <family val="2"/>
        <charset val="162"/>
        <scheme val="minor"/>
      </rPr>
      <t>32 LİK HATTI İLK YAKALADIĞIN YERDEN KOMBİ YERİNE KADAR OLAN MESAFENİN GİDİŞ DÖNÜŞ UZUNLUĞU KADAR METRAJ AL</t>
    </r>
  </si>
  <si>
    <r>
      <rPr>
        <b/>
        <sz val="14"/>
        <color theme="1"/>
        <rFont val="Calibri"/>
        <family val="2"/>
        <charset val="162"/>
        <scheme val="minor"/>
      </rPr>
      <t>32 LİK KOMPOZİT PPRC BORU ( 1 BOY 4 METRE)</t>
    </r>
    <r>
      <rPr>
        <sz val="14"/>
        <color theme="1"/>
        <rFont val="Calibri"/>
        <family val="2"/>
        <charset val="162"/>
        <scheme val="minor"/>
      </rPr>
      <t xml:space="preserve">
</t>
    </r>
  </si>
  <si>
    <r>
      <rPr>
        <b/>
        <sz val="14"/>
        <color theme="1"/>
        <rFont val="Calibri"/>
        <family val="2"/>
        <charset val="162"/>
        <scheme val="minor"/>
      </rPr>
      <t>20 LİK KOMPOZİT PPRC BORU ( 1 BOY 4 METRE)</t>
    </r>
    <r>
      <rPr>
        <sz val="14"/>
        <color theme="1"/>
        <rFont val="Calibri"/>
        <family val="2"/>
        <charset val="162"/>
        <scheme val="minor"/>
      </rPr>
      <t xml:space="preserve">
</t>
    </r>
    <r>
      <rPr>
        <u/>
        <sz val="14"/>
        <color theme="1"/>
        <rFont val="Calibri"/>
        <family val="2"/>
        <charset val="162"/>
        <scheme val="minor"/>
      </rPr>
      <t xml:space="preserve"> YOĞUŞMAYI ÇEKEBİLECEĞİMİZ EN YAKIN SÜZGEÇ VEYA MUTFAK ALTI ÇATALA KADAR OLAN MESAFE</t>
    </r>
  </si>
  <si>
    <t>25 LİKTEKLİ KELEPÇE</t>
  </si>
  <si>
    <t>32 LİK DIŞ DİŞ OYNAR BAŞLI REKOR</t>
  </si>
  <si>
    <t>FULL TESİSAT</t>
  </si>
  <si>
    <t>SAYAÇ DOLABI</t>
  </si>
  <si>
    <t>PATENT TE  1"-1"-1"</t>
  </si>
  <si>
    <t>1 1/4 - 1" DİRSEK REDÜKSİYON</t>
  </si>
  <si>
    <t>DOĞALGAZ VANASI 1"</t>
  </si>
  <si>
    <t>DOĞALGAZ BORUSU ÇELİK 3/4"</t>
  </si>
  <si>
    <t>UZUN TRİFONLU KELEPÇE 1 1/4"</t>
  </si>
  <si>
    <t>UZUN TRİFONLU KELEPÇE 1"</t>
  </si>
  <si>
    <t>TOPLAM</t>
  </si>
  <si>
    <t>GAZ ALARM CİHAZI</t>
  </si>
  <si>
    <t>SELENOİD VANA</t>
  </si>
  <si>
    <t xml:space="preserve">Cam Menfezi </t>
  </si>
  <si>
    <t>1"- 3/4" Redüksiyon Dirsek</t>
  </si>
  <si>
    <t>1"- 1/2" Redüksiyon Dirsek</t>
  </si>
  <si>
    <t>DUVAR GEÇİŞİ</t>
  </si>
  <si>
    <t>Elektrik+Sigorta +Liht</t>
  </si>
  <si>
    <t>Kısa kolon boru hariç malzemeler 5600 maliyet yaklaşık 6000
 alınabilir uzunluğa ve hattın büyüklüğüne göre fiyata ekleme yap.Boru metrajı için x120 yap ekle.Elektrik işciliği yok.</t>
  </si>
  <si>
    <t>KISA KOLON MALZEME</t>
  </si>
  <si>
    <t>HAT KAYDIRMA + KOMBİ MONTAJI</t>
  </si>
  <si>
    <t>ALTI HAZIR KOMBİ MONTAJI</t>
  </si>
  <si>
    <t>İNEGAL DİŞLİ TE</t>
  </si>
  <si>
    <t>SHUT OFF GRUBU</t>
  </si>
  <si>
    <t>1" KİLİTLİ DOĞALGAZ VANASI</t>
  </si>
  <si>
    <t>1" FİLTRE</t>
  </si>
  <si>
    <t>1" NİPEL</t>
  </si>
  <si>
    <t>1"- 1/2" - 1" DİŞLİ TE</t>
  </si>
  <si>
    <t>1/2" DİŞLİ TE</t>
  </si>
  <si>
    <t>1" KONİK REKOR</t>
  </si>
  <si>
    <t>1/2" NİPEL</t>
  </si>
  <si>
    <t>0-100 manometre</t>
  </si>
  <si>
    <t>0-600 manometre</t>
  </si>
  <si>
    <t xml:space="preserve">test nipeli </t>
  </si>
  <si>
    <t xml:space="preserve">nipel redüksiyon 1/2 </t>
  </si>
  <si>
    <t>manometre musluğu</t>
  </si>
  <si>
    <t>1/2" kuyruklu dirsek</t>
  </si>
  <si>
    <t>1" shut off</t>
  </si>
  <si>
    <t>adet</t>
  </si>
  <si>
    <t>fiyat</t>
  </si>
  <si>
    <t>metraj usta</t>
  </si>
  <si>
    <t>boru</t>
  </si>
  <si>
    <t>GAZ ALARM CİHAZI EXPROOF</t>
  </si>
  <si>
    <t>MALİYET</t>
  </si>
  <si>
    <t>PROJE</t>
  </si>
  <si>
    <t>KDVLİ TOPLAM</t>
  </si>
  <si>
    <t>PATENT DİRSEK 1"</t>
  </si>
  <si>
    <t>PATENT DİRSEK 1 1/4"</t>
  </si>
  <si>
    <t>PATENT DİRSEK 1 1/2"</t>
  </si>
  <si>
    <t>PATENT DİRSEK 2"</t>
  </si>
  <si>
    <t>PATENT DİRSEK 2 1/2"</t>
  </si>
  <si>
    <t>POLİETİLEN BORU 1"</t>
  </si>
  <si>
    <t>POLİETİLEN BORU 1 1/4"</t>
  </si>
  <si>
    <t>POLİETİLEN BORU 1 1/2"</t>
  </si>
  <si>
    <t>POLİETİLEN BORU 2"</t>
  </si>
  <si>
    <t>DOĞALGAZ BORUSU ÇELİK 1 1/4"</t>
  </si>
  <si>
    <t>DOĞALGAZ BORUSU ÇELİK 2"</t>
  </si>
  <si>
    <t>KISA KELEPÇE 1"</t>
  </si>
  <si>
    <t>KISA KELEPÇE 3/4"</t>
  </si>
  <si>
    <t>KISA KELEPÇE 1/2"</t>
  </si>
  <si>
    <t>HAVALANDIRMA MENFEZ</t>
  </si>
  <si>
    <t>ANA KESME VANASI 1"</t>
  </si>
  <si>
    <t>DEPREM VANASI 1"</t>
  </si>
  <si>
    <t>ANA KESME VANASI 1 1/4"</t>
  </si>
  <si>
    <t>DEPREM VANASI 1 1/4"</t>
  </si>
  <si>
    <t>ANA KESME VANASI 1 1/2"</t>
  </si>
  <si>
    <t>DEPREM VANASI 1 1/2"</t>
  </si>
  <si>
    <t>ANA KESME VANASI 2"</t>
  </si>
  <si>
    <t>DEPREM VANASI 2"</t>
  </si>
  <si>
    <t>UZUN TRİFONLU KELEPÇE 1 1/2"</t>
  </si>
  <si>
    <t>UZUN TRİFONLU KELEPÇE 2"</t>
  </si>
  <si>
    <t>UZUN TRİFONLU KELEPÇE 2 1/2"</t>
  </si>
  <si>
    <t>KİLİTLİ DOĞALGAZ VANASI 1"</t>
  </si>
  <si>
    <t>KİLİTLİ DOĞALGAZ VANASI 1/2"</t>
  </si>
  <si>
    <t>KİLİTLİ DOĞALGAZ VANASI 3/4"</t>
  </si>
  <si>
    <t>SELENOİD VANA 1"</t>
  </si>
  <si>
    <t>KÖR TAPA 1"</t>
  </si>
  <si>
    <t>NİPEL 1"</t>
  </si>
  <si>
    <t>REKOR 1"</t>
  </si>
  <si>
    <t>PATENT TE 1 1/4"-1 1/4"-1 1/4"</t>
  </si>
  <si>
    <t>PATENT TE 1 1/2"-1 1/2"-1 1/2"</t>
  </si>
  <si>
    <t>PATENT TE 2"-2"-2"</t>
  </si>
  <si>
    <t>PATENT TE İNEGAL TE</t>
  </si>
  <si>
    <t>DOĞALGAZ BORUSU ÇELİK 1 1 /2"</t>
  </si>
  <si>
    <t>DOĞALGAZ BORUSU ÇELİK 1/2"</t>
  </si>
  <si>
    <t>DOĞALGAZ BORUSU ÇELİK  1"</t>
  </si>
  <si>
    <t>POLİETİLEN BORU 2 1/2"</t>
  </si>
  <si>
    <t>GAZ ALARM CİHAZI EXPROOF ELEKTRİK</t>
  </si>
  <si>
    <t>İŞCİLİK</t>
  </si>
  <si>
    <t>KDV</t>
  </si>
  <si>
    <t>KARLILIK</t>
  </si>
  <si>
    <t>Test Maşonu VEYA Dirseği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</si>
</sst>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u/>
      <sz val="14"/>
      <color theme="1"/>
      <name val="Calibri"/>
      <family val="2"/>
      <charset val="162"/>
      <scheme val="minor"/>
    </font>
    <font>
      <sz val="10"/>
      <name val="Arial"/>
    </font>
    <font>
      <b/>
      <sz val="11"/>
      <color theme="1"/>
      <name val="Calibri"/>
      <family val="2"/>
      <charset val="16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6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0" fillId="0" borderId="0" xfId="0" applyFill="1"/>
    <xf numFmtId="0" fontId="1" fillId="8" borderId="1" xfId="0" applyFont="1" applyFill="1" applyBorder="1"/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/>
    <xf numFmtId="0" fontId="3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/>
    </xf>
    <xf numFmtId="0" fontId="1" fillId="0" borderId="3" xfId="0" applyFont="1" applyFill="1" applyBorder="1"/>
    <xf numFmtId="0" fontId="1" fillId="8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top" wrapText="1"/>
    </xf>
    <xf numFmtId="0" fontId="0" fillId="0" borderId="3" xfId="0" applyFill="1" applyBorder="1"/>
    <xf numFmtId="0" fontId="1" fillId="11" borderId="1" xfId="0" applyFont="1" applyFill="1" applyBorder="1"/>
    <xf numFmtId="0" fontId="1" fillId="11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/>
    <xf numFmtId="0" fontId="2" fillId="0" borderId="3" xfId="0" applyFont="1" applyFill="1" applyBorder="1" applyAlignment="1">
      <alignment vertical="center"/>
    </xf>
    <xf numFmtId="3" fontId="0" fillId="0" borderId="0" xfId="0" applyNumberFormat="1"/>
    <xf numFmtId="0" fontId="2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6" borderId="3" xfId="0" applyFont="1" applyFill="1" applyBorder="1" applyAlignment="1">
      <alignment vertical="center"/>
    </xf>
    <xf numFmtId="0" fontId="2" fillId="6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C1:F48"/>
  <sheetViews>
    <sheetView topLeftCell="A31" workbookViewId="0">
      <selection activeCell="E24" sqref="E24"/>
    </sheetView>
  </sheetViews>
  <sheetFormatPr defaultRowHeight="18.75"/>
  <cols>
    <col min="1" max="2" width="9.140625" style="3"/>
    <col min="3" max="3" width="45.140625" style="3" bestFit="1" customWidth="1"/>
    <col min="4" max="4" width="12.5703125" style="7" bestFit="1" customWidth="1"/>
    <col min="5" max="5" width="15.28515625" style="7" customWidth="1"/>
    <col min="6" max="6" width="10.85546875" style="7" bestFit="1" customWidth="1"/>
    <col min="7" max="7" width="37" style="3" customWidth="1"/>
    <col min="8" max="16384" width="9.140625" style="3"/>
  </cols>
  <sheetData>
    <row r="1" spans="3:6">
      <c r="C1" s="60" t="s">
        <v>47</v>
      </c>
      <c r="D1" s="60"/>
      <c r="E1" s="60"/>
      <c r="F1" s="60"/>
    </row>
    <row r="2" spans="3:6">
      <c r="C2" s="2" t="s">
        <v>0</v>
      </c>
      <c r="D2" s="5" t="s">
        <v>2</v>
      </c>
      <c r="E2" s="5" t="s">
        <v>1</v>
      </c>
      <c r="F2" s="5" t="s">
        <v>3</v>
      </c>
    </row>
    <row r="3" spans="3:6">
      <c r="C3" s="10" t="s">
        <v>35</v>
      </c>
      <c r="D3" s="11">
        <v>1</v>
      </c>
      <c r="E3" s="16">
        <v>55</v>
      </c>
      <c r="F3" s="6">
        <f t="shared" ref="F3:F47" si="0">D3*E3</f>
        <v>55</v>
      </c>
    </row>
    <row r="4" spans="3:6">
      <c r="C4" s="10" t="s">
        <v>4</v>
      </c>
      <c r="D4" s="11">
        <v>1</v>
      </c>
      <c r="E4" s="16">
        <v>500</v>
      </c>
      <c r="F4" s="6">
        <f t="shared" si="0"/>
        <v>500</v>
      </c>
    </row>
    <row r="5" spans="3:6">
      <c r="C5" s="10" t="s">
        <v>5</v>
      </c>
      <c r="D5" s="11">
        <v>1</v>
      </c>
      <c r="E5" s="16">
        <v>200</v>
      </c>
      <c r="F5" s="6">
        <f t="shared" si="0"/>
        <v>200</v>
      </c>
    </row>
    <row r="6" spans="3:6">
      <c r="C6" s="10" t="s">
        <v>6</v>
      </c>
      <c r="D6" s="11">
        <v>1</v>
      </c>
      <c r="E6" s="16">
        <v>120</v>
      </c>
      <c r="F6" s="6">
        <f t="shared" si="0"/>
        <v>120</v>
      </c>
    </row>
    <row r="7" spans="3:6">
      <c r="C7" s="10" t="s">
        <v>233</v>
      </c>
      <c r="D7" s="11">
        <v>1</v>
      </c>
      <c r="E7" s="16">
        <v>50</v>
      </c>
      <c r="F7" s="6">
        <f t="shared" si="0"/>
        <v>50</v>
      </c>
    </row>
    <row r="8" spans="3:6">
      <c r="C8" s="10" t="s">
        <v>32</v>
      </c>
      <c r="D8" s="11">
        <v>1</v>
      </c>
      <c r="E8" s="16">
        <v>220</v>
      </c>
      <c r="F8" s="6">
        <f t="shared" si="0"/>
        <v>220</v>
      </c>
    </row>
    <row r="9" spans="3:6">
      <c r="C9" s="10" t="s">
        <v>93</v>
      </c>
      <c r="D9" s="11">
        <v>1</v>
      </c>
      <c r="E9" s="16">
        <v>125</v>
      </c>
      <c r="F9" s="6">
        <f t="shared" si="0"/>
        <v>125</v>
      </c>
    </row>
    <row r="10" spans="3:6">
      <c r="C10" s="10" t="s">
        <v>87</v>
      </c>
      <c r="D10" s="11">
        <v>0</v>
      </c>
      <c r="E10" s="16">
        <v>250</v>
      </c>
      <c r="F10" s="6">
        <f t="shared" si="0"/>
        <v>0</v>
      </c>
    </row>
    <row r="11" spans="3:6">
      <c r="C11" s="10" t="s">
        <v>159</v>
      </c>
      <c r="D11" s="11">
        <v>0</v>
      </c>
      <c r="E11" s="16">
        <v>500</v>
      </c>
      <c r="F11" s="6">
        <f t="shared" si="0"/>
        <v>0</v>
      </c>
    </row>
    <row r="12" spans="3:6">
      <c r="C12" s="10" t="s">
        <v>27</v>
      </c>
      <c r="D12" s="11">
        <v>1</v>
      </c>
      <c r="E12" s="16">
        <v>350</v>
      </c>
      <c r="F12" s="6">
        <f t="shared" si="0"/>
        <v>350</v>
      </c>
    </row>
    <row r="13" spans="3:6">
      <c r="C13" s="10" t="s">
        <v>28</v>
      </c>
      <c r="D13" s="11">
        <v>1</v>
      </c>
      <c r="E13" s="16">
        <v>250</v>
      </c>
      <c r="F13" s="6">
        <f t="shared" si="0"/>
        <v>250</v>
      </c>
    </row>
    <row r="14" spans="3:6">
      <c r="C14" s="10" t="s">
        <v>30</v>
      </c>
      <c r="D14" s="11">
        <v>8</v>
      </c>
      <c r="E14" s="16">
        <v>13</v>
      </c>
      <c r="F14" s="6">
        <f t="shared" si="0"/>
        <v>104</v>
      </c>
    </row>
    <row r="15" spans="3:6">
      <c r="C15" s="10" t="s">
        <v>21</v>
      </c>
      <c r="D15" s="11">
        <v>1</v>
      </c>
      <c r="E15" s="16">
        <v>80</v>
      </c>
      <c r="F15" s="6">
        <f t="shared" si="0"/>
        <v>80</v>
      </c>
    </row>
    <row r="16" spans="3:6">
      <c r="C16" s="10" t="s">
        <v>23</v>
      </c>
      <c r="D16" s="11">
        <v>1</v>
      </c>
      <c r="E16" s="16">
        <v>80</v>
      </c>
      <c r="F16" s="6">
        <f t="shared" si="0"/>
        <v>80</v>
      </c>
    </row>
    <row r="17" spans="3:6">
      <c r="C17" s="10" t="s">
        <v>22</v>
      </c>
      <c r="D17" s="11">
        <v>1</v>
      </c>
      <c r="E17" s="16">
        <v>80</v>
      </c>
      <c r="F17" s="6">
        <f t="shared" si="0"/>
        <v>80</v>
      </c>
    </row>
    <row r="18" spans="3:6">
      <c r="C18" s="4" t="s">
        <v>31</v>
      </c>
      <c r="D18" s="6">
        <v>5</v>
      </c>
      <c r="E18" s="16">
        <v>15</v>
      </c>
      <c r="F18" s="6">
        <f t="shared" si="0"/>
        <v>75</v>
      </c>
    </row>
    <row r="19" spans="3:6">
      <c r="C19" s="4" t="s">
        <v>92</v>
      </c>
      <c r="D19" s="6">
        <v>10</v>
      </c>
      <c r="E19" s="16">
        <v>15</v>
      </c>
      <c r="F19" s="6">
        <f t="shared" si="0"/>
        <v>150</v>
      </c>
    </row>
    <row r="20" spans="3:6">
      <c r="C20" s="4" t="s">
        <v>43</v>
      </c>
      <c r="D20" s="6">
        <v>10</v>
      </c>
      <c r="E20" s="16">
        <v>13</v>
      </c>
      <c r="F20" s="6">
        <f t="shared" si="0"/>
        <v>130</v>
      </c>
    </row>
    <row r="21" spans="3:6">
      <c r="C21" s="4" t="s">
        <v>44</v>
      </c>
      <c r="D21" s="6">
        <v>5</v>
      </c>
      <c r="E21" s="16">
        <v>12</v>
      </c>
      <c r="F21" s="6">
        <f t="shared" si="0"/>
        <v>60</v>
      </c>
    </row>
    <row r="22" spans="3:6">
      <c r="C22" s="4" t="s">
        <v>45</v>
      </c>
      <c r="D22" s="6">
        <v>10</v>
      </c>
      <c r="E22" s="16">
        <v>10</v>
      </c>
      <c r="F22" s="6">
        <f t="shared" si="0"/>
        <v>100</v>
      </c>
    </row>
    <row r="23" spans="3:6">
      <c r="C23" s="38" t="s">
        <v>40</v>
      </c>
      <c r="D23" s="39">
        <v>20</v>
      </c>
      <c r="E23" s="39">
        <v>250</v>
      </c>
      <c r="F23" s="39">
        <f t="shared" si="0"/>
        <v>5000</v>
      </c>
    </row>
    <row r="24" spans="3:6">
      <c r="C24" s="38" t="s">
        <v>41</v>
      </c>
      <c r="D24" s="39">
        <v>6</v>
      </c>
      <c r="E24" s="39">
        <v>100</v>
      </c>
      <c r="F24" s="39">
        <f t="shared" si="0"/>
        <v>600</v>
      </c>
    </row>
    <row r="25" spans="3:6">
      <c r="C25" s="38" t="s">
        <v>42</v>
      </c>
      <c r="D25" s="39">
        <v>10</v>
      </c>
      <c r="E25" s="39">
        <v>80</v>
      </c>
      <c r="F25" s="39">
        <f t="shared" si="0"/>
        <v>800</v>
      </c>
    </row>
    <row r="26" spans="3:6">
      <c r="C26" s="4" t="s">
        <v>8</v>
      </c>
      <c r="D26" s="6">
        <v>2</v>
      </c>
      <c r="E26" s="6">
        <v>85</v>
      </c>
      <c r="F26" s="6">
        <f t="shared" si="0"/>
        <v>170</v>
      </c>
    </row>
    <row r="27" spans="3:6">
      <c r="C27" s="4" t="s">
        <v>9</v>
      </c>
      <c r="D27" s="6">
        <v>2</v>
      </c>
      <c r="E27" s="6">
        <v>40</v>
      </c>
      <c r="F27" s="6">
        <f t="shared" si="0"/>
        <v>80</v>
      </c>
    </row>
    <row r="28" spans="3:6">
      <c r="C28" s="4" t="s">
        <v>10</v>
      </c>
      <c r="D28" s="6">
        <v>2</v>
      </c>
      <c r="E28" s="6">
        <v>30</v>
      </c>
      <c r="F28" s="6">
        <f t="shared" si="0"/>
        <v>60</v>
      </c>
    </row>
    <row r="29" spans="3:6">
      <c r="C29" s="4" t="s">
        <v>11</v>
      </c>
      <c r="D29" s="6">
        <v>2</v>
      </c>
      <c r="E29" s="6">
        <v>20</v>
      </c>
      <c r="F29" s="6">
        <f t="shared" si="0"/>
        <v>40</v>
      </c>
    </row>
    <row r="30" spans="3:6">
      <c r="C30" s="4" t="s">
        <v>14</v>
      </c>
      <c r="D30" s="6">
        <v>20</v>
      </c>
      <c r="E30" s="16">
        <v>30</v>
      </c>
      <c r="F30" s="6">
        <f t="shared" si="0"/>
        <v>600</v>
      </c>
    </row>
    <row r="31" spans="3:6">
      <c r="C31" s="4" t="s">
        <v>12</v>
      </c>
      <c r="D31" s="6">
        <v>5</v>
      </c>
      <c r="E31" s="16">
        <v>20</v>
      </c>
      <c r="F31" s="6">
        <f t="shared" si="0"/>
        <v>100</v>
      </c>
    </row>
    <row r="32" spans="3:6">
      <c r="C32" s="4" t="s">
        <v>13</v>
      </c>
      <c r="D32" s="6">
        <v>5</v>
      </c>
      <c r="E32" s="16">
        <v>20</v>
      </c>
      <c r="F32" s="6">
        <f t="shared" si="0"/>
        <v>100</v>
      </c>
    </row>
    <row r="33" spans="3:6">
      <c r="C33" s="4" t="s">
        <v>17</v>
      </c>
      <c r="D33" s="6">
        <v>1</v>
      </c>
      <c r="E33" s="6">
        <v>50</v>
      </c>
      <c r="F33" s="6">
        <f t="shared" si="0"/>
        <v>50</v>
      </c>
    </row>
    <row r="34" spans="3:6">
      <c r="C34" s="4" t="s">
        <v>15</v>
      </c>
      <c r="D34" s="6">
        <v>1</v>
      </c>
      <c r="E34" s="6">
        <v>35</v>
      </c>
      <c r="F34" s="6">
        <f t="shared" si="0"/>
        <v>35</v>
      </c>
    </row>
    <row r="35" spans="3:6">
      <c r="C35" s="4" t="s">
        <v>16</v>
      </c>
      <c r="D35" s="6">
        <v>1</v>
      </c>
      <c r="E35" s="6">
        <v>30</v>
      </c>
      <c r="F35" s="6">
        <f t="shared" si="0"/>
        <v>30</v>
      </c>
    </row>
    <row r="36" spans="3:6">
      <c r="C36" s="4" t="s">
        <v>20</v>
      </c>
      <c r="D36" s="6">
        <v>1</v>
      </c>
      <c r="E36" s="16">
        <v>20</v>
      </c>
      <c r="F36" s="6">
        <f t="shared" si="0"/>
        <v>20</v>
      </c>
    </row>
    <row r="37" spans="3:6">
      <c r="C37" s="4" t="s">
        <v>19</v>
      </c>
      <c r="D37" s="6">
        <v>1</v>
      </c>
      <c r="E37" s="16">
        <v>15</v>
      </c>
      <c r="F37" s="6">
        <f t="shared" si="0"/>
        <v>15</v>
      </c>
    </row>
    <row r="38" spans="3:6">
      <c r="C38" s="4" t="s">
        <v>18</v>
      </c>
      <c r="D38" s="6">
        <v>1</v>
      </c>
      <c r="E38" s="16">
        <v>15</v>
      </c>
      <c r="F38" s="6">
        <f t="shared" si="0"/>
        <v>15</v>
      </c>
    </row>
    <row r="39" spans="3:6">
      <c r="C39" s="4" t="s">
        <v>25</v>
      </c>
      <c r="D39" s="6">
        <v>1</v>
      </c>
      <c r="E39" s="6">
        <v>20</v>
      </c>
      <c r="F39" s="6">
        <f t="shared" si="0"/>
        <v>20</v>
      </c>
    </row>
    <row r="40" spans="3:6">
      <c r="C40" s="4" t="s">
        <v>24</v>
      </c>
      <c r="D40" s="6">
        <v>1</v>
      </c>
      <c r="E40" s="6">
        <v>15</v>
      </c>
      <c r="F40" s="6">
        <f t="shared" si="0"/>
        <v>15</v>
      </c>
    </row>
    <row r="41" spans="3:6">
      <c r="C41" s="4" t="s">
        <v>26</v>
      </c>
      <c r="D41" s="6">
        <v>1</v>
      </c>
      <c r="E41" s="6">
        <v>11</v>
      </c>
      <c r="F41" s="6">
        <f t="shared" si="0"/>
        <v>11</v>
      </c>
    </row>
    <row r="42" spans="3:6">
      <c r="C42" s="8" t="s">
        <v>29</v>
      </c>
      <c r="D42" s="12">
        <v>0</v>
      </c>
      <c r="E42" s="16">
        <v>500</v>
      </c>
      <c r="F42" s="6">
        <f t="shared" si="0"/>
        <v>0</v>
      </c>
    </row>
    <row r="43" spans="3:6">
      <c r="C43" s="8" t="s">
        <v>33</v>
      </c>
      <c r="D43" s="12">
        <v>0</v>
      </c>
      <c r="E43" s="16">
        <v>210</v>
      </c>
      <c r="F43" s="6">
        <f t="shared" si="0"/>
        <v>0</v>
      </c>
    </row>
    <row r="44" spans="3:6">
      <c r="C44" s="8" t="s">
        <v>36</v>
      </c>
      <c r="D44" s="9">
        <v>0</v>
      </c>
      <c r="E44" s="6">
        <v>500</v>
      </c>
      <c r="F44" s="6">
        <f t="shared" si="0"/>
        <v>0</v>
      </c>
    </row>
    <row r="45" spans="3:6">
      <c r="C45" s="8" t="s">
        <v>37</v>
      </c>
      <c r="D45" s="9">
        <v>0</v>
      </c>
      <c r="E45" s="6">
        <v>3500</v>
      </c>
      <c r="F45" s="6">
        <f t="shared" si="0"/>
        <v>0</v>
      </c>
    </row>
    <row r="46" spans="3:6">
      <c r="C46" s="8" t="s">
        <v>38</v>
      </c>
      <c r="D46" s="9">
        <v>0</v>
      </c>
      <c r="E46" s="6">
        <v>3000</v>
      </c>
      <c r="F46" s="6">
        <f t="shared" si="0"/>
        <v>0</v>
      </c>
    </row>
    <row r="47" spans="3:6">
      <c r="C47" s="8" t="s">
        <v>39</v>
      </c>
      <c r="D47" s="9">
        <v>0</v>
      </c>
      <c r="E47" s="6">
        <v>0</v>
      </c>
      <c r="F47" s="6">
        <f t="shared" si="0"/>
        <v>0</v>
      </c>
    </row>
    <row r="48" spans="3:6">
      <c r="C48" s="4" t="s">
        <v>34</v>
      </c>
      <c r="D48" s="6"/>
      <c r="E48" s="6"/>
      <c r="F48" s="6">
        <f>SUM(F3:F47)</f>
        <v>10490</v>
      </c>
    </row>
  </sheetData>
  <mergeCells count="1">
    <mergeCell ref="C1:F1"/>
  </mergeCells>
  <pageMargins left="0.7" right="0.7" top="0.75" bottom="0.75" header="0.3" footer="0.3"/>
  <pageSetup paperSize="9" scale="8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C1:K91"/>
  <sheetViews>
    <sheetView topLeftCell="A51" workbookViewId="0">
      <selection activeCell="B39" sqref="B39"/>
    </sheetView>
  </sheetViews>
  <sheetFormatPr defaultRowHeight="15.75"/>
  <cols>
    <col min="1" max="2" width="9.140625" style="33"/>
    <col min="3" max="3" width="41.42578125" style="33" bestFit="1" customWidth="1"/>
    <col min="4" max="4" width="11.5703125" style="57" customWidth="1"/>
    <col min="5" max="6" width="9.140625" style="57"/>
    <col min="7" max="16384" width="9.140625" style="33"/>
  </cols>
  <sheetData>
    <row r="1" spans="3:6">
      <c r="C1" s="63" t="s">
        <v>161</v>
      </c>
      <c r="D1" s="63"/>
      <c r="E1" s="63"/>
      <c r="F1" s="63"/>
    </row>
    <row r="2" spans="3:6">
      <c r="C2" s="31" t="s">
        <v>48</v>
      </c>
      <c r="D2" s="32" t="s">
        <v>50</v>
      </c>
      <c r="E2" s="32" t="s">
        <v>46</v>
      </c>
      <c r="F2" s="32" t="s">
        <v>81</v>
      </c>
    </row>
    <row r="3" spans="3:6">
      <c r="C3" s="31" t="s">
        <v>145</v>
      </c>
      <c r="D3" s="32">
        <v>1</v>
      </c>
      <c r="E3" s="32">
        <v>750</v>
      </c>
      <c r="F3" s="32">
        <f>D3*E3</f>
        <v>750</v>
      </c>
    </row>
    <row r="4" spans="3:6">
      <c r="C4" s="31" t="s">
        <v>51</v>
      </c>
      <c r="D4" s="32">
        <v>1</v>
      </c>
      <c r="E4" s="35">
        <v>500</v>
      </c>
      <c r="F4" s="32">
        <f t="shared" ref="F4:F76" si="0">D4*E4</f>
        <v>500</v>
      </c>
    </row>
    <row r="5" spans="3:6">
      <c r="C5" s="31" t="s">
        <v>52</v>
      </c>
      <c r="D5" s="32">
        <v>1</v>
      </c>
      <c r="E5" s="35">
        <v>1500</v>
      </c>
      <c r="F5" s="32">
        <f t="shared" si="0"/>
        <v>1500</v>
      </c>
    </row>
    <row r="6" spans="3:6">
      <c r="C6" s="31" t="s">
        <v>54</v>
      </c>
      <c r="D6" s="32">
        <v>1</v>
      </c>
      <c r="E6" s="32">
        <v>50</v>
      </c>
      <c r="F6" s="32">
        <f t="shared" si="0"/>
        <v>50</v>
      </c>
    </row>
    <row r="7" spans="3:6">
      <c r="C7" s="31" t="s">
        <v>53</v>
      </c>
      <c r="D7" s="32">
        <v>1</v>
      </c>
      <c r="E7" s="32">
        <v>50</v>
      </c>
      <c r="F7" s="32">
        <f t="shared" si="0"/>
        <v>50</v>
      </c>
    </row>
    <row r="8" spans="3:6">
      <c r="C8" s="31" t="s">
        <v>90</v>
      </c>
      <c r="D8" s="32">
        <v>1</v>
      </c>
      <c r="E8" s="32">
        <v>65</v>
      </c>
      <c r="F8" s="32">
        <f t="shared" si="0"/>
        <v>65</v>
      </c>
    </row>
    <row r="9" spans="3:6">
      <c r="C9" s="31" t="s">
        <v>91</v>
      </c>
      <c r="D9" s="32">
        <v>0</v>
      </c>
      <c r="E9" s="32">
        <v>50</v>
      </c>
      <c r="F9" s="32">
        <f t="shared" si="0"/>
        <v>0</v>
      </c>
    </row>
    <row r="10" spans="3:6">
      <c r="C10" s="31" t="s">
        <v>147</v>
      </c>
      <c r="D10" s="32">
        <v>1</v>
      </c>
      <c r="E10" s="32">
        <v>65</v>
      </c>
      <c r="F10" s="32">
        <f t="shared" si="0"/>
        <v>65</v>
      </c>
    </row>
    <row r="11" spans="3:6">
      <c r="C11" s="31" t="s">
        <v>188</v>
      </c>
      <c r="D11" s="32">
        <v>10</v>
      </c>
      <c r="E11" s="32">
        <v>50</v>
      </c>
      <c r="F11" s="32">
        <f t="shared" si="0"/>
        <v>500</v>
      </c>
    </row>
    <row r="12" spans="3:6">
      <c r="C12" s="31" t="s">
        <v>189</v>
      </c>
      <c r="D12" s="32">
        <v>10</v>
      </c>
      <c r="E12" s="32">
        <v>60</v>
      </c>
      <c r="F12" s="32">
        <f t="shared" si="0"/>
        <v>600</v>
      </c>
    </row>
    <row r="13" spans="3:6">
      <c r="C13" s="31" t="s">
        <v>190</v>
      </c>
      <c r="D13" s="32">
        <v>0</v>
      </c>
      <c r="E13" s="32">
        <v>35</v>
      </c>
      <c r="F13" s="32">
        <f t="shared" si="0"/>
        <v>0</v>
      </c>
    </row>
    <row r="14" spans="3:6">
      <c r="C14" s="31" t="s">
        <v>191</v>
      </c>
      <c r="D14" s="32">
        <v>0</v>
      </c>
      <c r="E14" s="32">
        <v>50</v>
      </c>
      <c r="F14" s="32">
        <f t="shared" si="0"/>
        <v>0</v>
      </c>
    </row>
    <row r="15" spans="3:6">
      <c r="C15" s="31" t="s">
        <v>192</v>
      </c>
      <c r="D15" s="32">
        <v>0</v>
      </c>
      <c r="E15" s="32">
        <v>80</v>
      </c>
      <c r="F15" s="32">
        <f t="shared" si="0"/>
        <v>0</v>
      </c>
    </row>
    <row r="16" spans="3:6">
      <c r="C16" s="31" t="s">
        <v>203</v>
      </c>
      <c r="D16" s="32">
        <v>1</v>
      </c>
      <c r="E16" s="32">
        <v>250</v>
      </c>
      <c r="F16" s="32">
        <f t="shared" si="0"/>
        <v>250</v>
      </c>
    </row>
    <row r="17" spans="3:6">
      <c r="C17" s="31" t="s">
        <v>204</v>
      </c>
      <c r="D17" s="32">
        <v>1</v>
      </c>
      <c r="E17" s="32">
        <v>1500</v>
      </c>
      <c r="F17" s="32">
        <f t="shared" si="0"/>
        <v>1500</v>
      </c>
    </row>
    <row r="18" spans="3:6">
      <c r="C18" s="31" t="s">
        <v>205</v>
      </c>
      <c r="D18" s="32"/>
      <c r="E18" s="32">
        <v>400</v>
      </c>
      <c r="F18" s="32"/>
    </row>
    <row r="19" spans="3:6">
      <c r="C19" s="31" t="s">
        <v>206</v>
      </c>
      <c r="D19" s="32"/>
      <c r="E19" s="32">
        <v>850</v>
      </c>
      <c r="F19" s="32"/>
    </row>
    <row r="20" spans="3:6">
      <c r="C20" s="31" t="s">
        <v>207</v>
      </c>
      <c r="D20" s="32"/>
      <c r="E20" s="32">
        <v>600</v>
      </c>
      <c r="F20" s="32"/>
    </row>
    <row r="21" spans="3:6">
      <c r="C21" s="31" t="s">
        <v>208</v>
      </c>
      <c r="D21" s="32"/>
      <c r="E21" s="32">
        <v>900</v>
      </c>
      <c r="F21" s="32"/>
    </row>
    <row r="22" spans="3:6">
      <c r="C22" s="31" t="s">
        <v>209</v>
      </c>
      <c r="D22" s="32">
        <v>0</v>
      </c>
      <c r="E22" s="32">
        <v>900</v>
      </c>
      <c r="F22" s="32">
        <f t="shared" si="0"/>
        <v>0</v>
      </c>
    </row>
    <row r="23" spans="3:6">
      <c r="C23" s="31" t="s">
        <v>210</v>
      </c>
      <c r="D23" s="32">
        <v>0</v>
      </c>
      <c r="E23" s="32">
        <v>900</v>
      </c>
      <c r="F23" s="32">
        <f t="shared" si="0"/>
        <v>0</v>
      </c>
    </row>
    <row r="24" spans="3:6">
      <c r="C24" s="31" t="s">
        <v>219</v>
      </c>
      <c r="D24" s="32">
        <v>4</v>
      </c>
      <c r="E24" s="32">
        <v>40</v>
      </c>
      <c r="F24" s="32">
        <f t="shared" si="0"/>
        <v>160</v>
      </c>
    </row>
    <row r="25" spans="3:6">
      <c r="C25" s="31" t="s">
        <v>220</v>
      </c>
      <c r="D25" s="32">
        <v>1</v>
      </c>
      <c r="E25" s="32">
        <v>100</v>
      </c>
      <c r="F25" s="32">
        <f t="shared" si="0"/>
        <v>100</v>
      </c>
    </row>
    <row r="26" spans="3:6">
      <c r="C26" s="34" t="s">
        <v>25</v>
      </c>
      <c r="D26" s="35">
        <v>4</v>
      </c>
      <c r="E26" s="32">
        <v>25</v>
      </c>
      <c r="F26" s="32">
        <f t="shared" si="0"/>
        <v>100</v>
      </c>
    </row>
    <row r="27" spans="3:6">
      <c r="C27" s="34" t="s">
        <v>24</v>
      </c>
      <c r="D27" s="35">
        <v>2</v>
      </c>
      <c r="E27" s="32">
        <v>15</v>
      </c>
      <c r="F27" s="32">
        <f t="shared" si="0"/>
        <v>30</v>
      </c>
    </row>
    <row r="28" spans="3:6">
      <c r="C28" s="34" t="s">
        <v>26</v>
      </c>
      <c r="D28" s="35">
        <v>2</v>
      </c>
      <c r="E28" s="32">
        <v>12</v>
      </c>
      <c r="F28" s="32">
        <f t="shared" si="0"/>
        <v>24</v>
      </c>
    </row>
    <row r="29" spans="3:6">
      <c r="C29" s="34" t="s">
        <v>35</v>
      </c>
      <c r="D29" s="35">
        <v>1</v>
      </c>
      <c r="E29" s="32">
        <v>150</v>
      </c>
      <c r="F29" s="32">
        <f t="shared" si="0"/>
        <v>150</v>
      </c>
    </row>
    <row r="30" spans="3:6">
      <c r="C30" s="34" t="s">
        <v>4</v>
      </c>
      <c r="D30" s="35">
        <v>1</v>
      </c>
      <c r="E30" s="32">
        <v>500</v>
      </c>
      <c r="F30" s="32">
        <f t="shared" si="0"/>
        <v>500</v>
      </c>
    </row>
    <row r="31" spans="3:6">
      <c r="C31" s="34" t="s">
        <v>7</v>
      </c>
      <c r="D31" s="35">
        <v>1</v>
      </c>
      <c r="E31" s="32">
        <v>100</v>
      </c>
      <c r="F31" s="32">
        <f t="shared" si="0"/>
        <v>100</v>
      </c>
    </row>
    <row r="32" spans="3:6">
      <c r="C32" s="31" t="s">
        <v>217</v>
      </c>
      <c r="D32" s="32">
        <v>0</v>
      </c>
      <c r="E32" s="32">
        <v>1000</v>
      </c>
      <c r="F32" s="32">
        <f t="shared" si="0"/>
        <v>0</v>
      </c>
    </row>
    <row r="33" spans="3:6">
      <c r="C33" s="31" t="s">
        <v>153</v>
      </c>
      <c r="D33" s="32">
        <v>0</v>
      </c>
      <c r="E33" s="32">
        <v>500</v>
      </c>
      <c r="F33" s="32">
        <f t="shared" si="0"/>
        <v>0</v>
      </c>
    </row>
    <row r="34" spans="3:6">
      <c r="C34" s="52" t="s">
        <v>214</v>
      </c>
      <c r="D34" s="53">
        <v>2</v>
      </c>
      <c r="E34" s="53">
        <v>350</v>
      </c>
      <c r="F34" s="53">
        <f t="shared" si="0"/>
        <v>700</v>
      </c>
    </row>
    <row r="35" spans="3:6">
      <c r="C35" s="52" t="s">
        <v>216</v>
      </c>
      <c r="D35" s="53">
        <v>1</v>
      </c>
      <c r="E35" s="53">
        <v>200</v>
      </c>
      <c r="F35" s="53">
        <f t="shared" si="0"/>
        <v>200</v>
      </c>
    </row>
    <row r="36" spans="3:6">
      <c r="C36" s="52" t="s">
        <v>215</v>
      </c>
      <c r="D36" s="53">
        <v>1</v>
      </c>
      <c r="E36" s="53">
        <v>120</v>
      </c>
      <c r="F36" s="53">
        <f t="shared" si="0"/>
        <v>120</v>
      </c>
    </row>
    <row r="37" spans="3:6">
      <c r="C37" s="31" t="s">
        <v>218</v>
      </c>
      <c r="D37" s="32">
        <v>2</v>
      </c>
      <c r="E37" s="32">
        <v>15</v>
      </c>
      <c r="F37" s="32">
        <f t="shared" si="0"/>
        <v>30</v>
      </c>
    </row>
    <row r="38" spans="3:6">
      <c r="C38" s="34" t="s">
        <v>155</v>
      </c>
      <c r="D38" s="35">
        <v>1</v>
      </c>
      <c r="E38" s="32">
        <v>500</v>
      </c>
      <c r="F38" s="32">
        <f t="shared" si="0"/>
        <v>500</v>
      </c>
    </row>
    <row r="39" spans="3:6">
      <c r="C39" s="34" t="s">
        <v>27</v>
      </c>
      <c r="D39" s="35">
        <v>1</v>
      </c>
      <c r="E39" s="32">
        <v>500</v>
      </c>
      <c r="F39" s="32">
        <f t="shared" si="0"/>
        <v>500</v>
      </c>
    </row>
    <row r="40" spans="3:6">
      <c r="C40" s="34" t="s">
        <v>28</v>
      </c>
      <c r="D40" s="35">
        <v>1</v>
      </c>
      <c r="E40" s="32">
        <v>500</v>
      </c>
      <c r="F40" s="32">
        <f t="shared" si="0"/>
        <v>500</v>
      </c>
    </row>
    <row r="41" spans="3:6">
      <c r="C41" s="34" t="s">
        <v>30</v>
      </c>
      <c r="D41" s="35">
        <v>1</v>
      </c>
      <c r="E41" s="32">
        <v>25</v>
      </c>
      <c r="F41" s="32">
        <f t="shared" si="0"/>
        <v>25</v>
      </c>
    </row>
    <row r="42" spans="3:6">
      <c r="C42" s="34" t="s">
        <v>156</v>
      </c>
      <c r="D42" s="35">
        <v>1</v>
      </c>
      <c r="E42" s="32">
        <v>30</v>
      </c>
      <c r="F42" s="32">
        <f t="shared" si="0"/>
        <v>30</v>
      </c>
    </row>
    <row r="43" spans="3:6">
      <c r="C43" s="34" t="s">
        <v>157</v>
      </c>
      <c r="D43" s="35">
        <v>1</v>
      </c>
      <c r="E43" s="32">
        <v>30</v>
      </c>
      <c r="F43" s="32">
        <f t="shared" si="0"/>
        <v>30</v>
      </c>
    </row>
    <row r="44" spans="3:6">
      <c r="C44" s="34" t="s">
        <v>164</v>
      </c>
      <c r="D44" s="35">
        <v>1</v>
      </c>
      <c r="E44" s="32">
        <v>50</v>
      </c>
      <c r="F44" s="32">
        <f t="shared" si="0"/>
        <v>50</v>
      </c>
    </row>
    <row r="45" spans="3:6">
      <c r="C45" s="31" t="s">
        <v>146</v>
      </c>
      <c r="D45" s="32">
        <v>3</v>
      </c>
      <c r="E45" s="32">
        <v>30</v>
      </c>
      <c r="F45" s="32">
        <f t="shared" si="0"/>
        <v>90</v>
      </c>
    </row>
    <row r="46" spans="3:6">
      <c r="C46" s="31" t="s">
        <v>221</v>
      </c>
      <c r="D46" s="32"/>
      <c r="E46" s="32">
        <v>35</v>
      </c>
      <c r="F46" s="32">
        <f t="shared" si="0"/>
        <v>0</v>
      </c>
    </row>
    <row r="47" spans="3:6">
      <c r="C47" s="31" t="s">
        <v>222</v>
      </c>
      <c r="D47" s="32"/>
      <c r="E47" s="32">
        <v>40</v>
      </c>
      <c r="F47" s="32">
        <f t="shared" si="0"/>
        <v>0</v>
      </c>
    </row>
    <row r="48" spans="3:6">
      <c r="C48" s="31" t="s">
        <v>223</v>
      </c>
      <c r="D48" s="32"/>
      <c r="E48" s="32">
        <v>55</v>
      </c>
      <c r="F48" s="32">
        <f t="shared" si="0"/>
        <v>0</v>
      </c>
    </row>
    <row r="49" spans="3:6">
      <c r="C49" s="31" t="s">
        <v>224</v>
      </c>
      <c r="D49" s="32"/>
      <c r="E49" s="32">
        <v>55</v>
      </c>
      <c r="F49" s="32">
        <f t="shared" si="0"/>
        <v>0</v>
      </c>
    </row>
    <row r="50" spans="3:6">
      <c r="C50" s="31" t="s">
        <v>72</v>
      </c>
      <c r="D50" s="32"/>
      <c r="E50" s="32">
        <v>80</v>
      </c>
      <c r="F50" s="32">
        <f t="shared" si="0"/>
        <v>0</v>
      </c>
    </row>
    <row r="51" spans="3:6">
      <c r="C51" s="31" t="s">
        <v>73</v>
      </c>
      <c r="D51" s="32">
        <v>1</v>
      </c>
      <c r="E51" s="32">
        <v>25</v>
      </c>
      <c r="F51" s="32">
        <f t="shared" si="0"/>
        <v>25</v>
      </c>
    </row>
    <row r="52" spans="3:6">
      <c r="C52" s="31" t="s">
        <v>74</v>
      </c>
      <c r="D52" s="32">
        <v>1</v>
      </c>
      <c r="E52" s="32">
        <v>50</v>
      </c>
      <c r="F52" s="32">
        <f t="shared" si="0"/>
        <v>50</v>
      </c>
    </row>
    <row r="53" spans="3:6">
      <c r="C53" s="34" t="s">
        <v>20</v>
      </c>
      <c r="D53" s="35">
        <v>2</v>
      </c>
      <c r="E53" s="32">
        <v>25</v>
      </c>
      <c r="F53" s="32">
        <f t="shared" si="0"/>
        <v>50</v>
      </c>
    </row>
    <row r="54" spans="3:6">
      <c r="C54" s="34" t="s">
        <v>19</v>
      </c>
      <c r="D54" s="35">
        <v>2</v>
      </c>
      <c r="E54" s="32">
        <v>20</v>
      </c>
      <c r="F54" s="32">
        <f t="shared" si="0"/>
        <v>40</v>
      </c>
    </row>
    <row r="55" spans="3:6">
      <c r="C55" s="34" t="s">
        <v>18</v>
      </c>
      <c r="D55" s="35">
        <v>2</v>
      </c>
      <c r="E55" s="32">
        <v>15</v>
      </c>
      <c r="F55" s="32">
        <f t="shared" si="0"/>
        <v>30</v>
      </c>
    </row>
    <row r="56" spans="3:6">
      <c r="C56" s="31" t="s">
        <v>82</v>
      </c>
      <c r="D56" s="32">
        <v>1</v>
      </c>
      <c r="E56" s="32">
        <v>100</v>
      </c>
      <c r="F56" s="32">
        <f t="shared" si="0"/>
        <v>100</v>
      </c>
    </row>
    <row r="57" spans="3:6">
      <c r="C57" s="31" t="s">
        <v>55</v>
      </c>
      <c r="D57" s="32">
        <v>1</v>
      </c>
      <c r="E57" s="32">
        <v>125</v>
      </c>
      <c r="F57" s="32">
        <f t="shared" si="0"/>
        <v>125</v>
      </c>
    </row>
    <row r="58" spans="3:6">
      <c r="C58" s="31" t="s">
        <v>158</v>
      </c>
      <c r="D58" s="32">
        <v>5</v>
      </c>
      <c r="E58" s="32">
        <v>10</v>
      </c>
      <c r="F58" s="32">
        <f t="shared" si="0"/>
        <v>50</v>
      </c>
    </row>
    <row r="59" spans="3:6">
      <c r="C59" s="31" t="s">
        <v>88</v>
      </c>
      <c r="D59" s="32">
        <v>1</v>
      </c>
      <c r="E59" s="32">
        <v>30</v>
      </c>
      <c r="F59" s="32">
        <f t="shared" si="0"/>
        <v>30</v>
      </c>
    </row>
    <row r="60" spans="3:6">
      <c r="C60" s="31" t="s">
        <v>57</v>
      </c>
      <c r="D60" s="32">
        <v>1</v>
      </c>
      <c r="E60" s="32">
        <v>200</v>
      </c>
      <c r="F60" s="32">
        <f t="shared" si="0"/>
        <v>200</v>
      </c>
    </row>
    <row r="61" spans="3:6">
      <c r="C61" s="31" t="s">
        <v>84</v>
      </c>
      <c r="D61" s="32">
        <v>1</v>
      </c>
      <c r="E61" s="32">
        <v>150</v>
      </c>
      <c r="F61" s="32">
        <f t="shared" si="0"/>
        <v>150</v>
      </c>
    </row>
    <row r="62" spans="3:6">
      <c r="C62" s="48" t="s">
        <v>80</v>
      </c>
      <c r="D62" s="51">
        <v>1</v>
      </c>
      <c r="E62" s="51">
        <v>1000</v>
      </c>
      <c r="F62" s="51">
        <f>D62*E62</f>
        <v>1000</v>
      </c>
    </row>
    <row r="63" spans="3:6">
      <c r="C63" s="48" t="s">
        <v>89</v>
      </c>
      <c r="D63" s="51">
        <v>0</v>
      </c>
      <c r="E63" s="51">
        <v>1000</v>
      </c>
      <c r="F63" s="51">
        <f>D63*E63</f>
        <v>0</v>
      </c>
    </row>
    <row r="64" spans="3:6">
      <c r="C64" s="48" t="s">
        <v>193</v>
      </c>
      <c r="D64" s="51">
        <v>10</v>
      </c>
      <c r="E64" s="51">
        <v>300</v>
      </c>
      <c r="F64" s="51">
        <f t="shared" si="0"/>
        <v>3000</v>
      </c>
    </row>
    <row r="65" spans="3:6">
      <c r="C65" s="48" t="s">
        <v>194</v>
      </c>
      <c r="D65" s="51"/>
      <c r="E65" s="51">
        <v>350</v>
      </c>
      <c r="F65" s="51">
        <f t="shared" si="0"/>
        <v>0</v>
      </c>
    </row>
    <row r="66" spans="3:6">
      <c r="C66" s="48" t="s">
        <v>195</v>
      </c>
      <c r="D66" s="51"/>
      <c r="E66" s="51">
        <v>400</v>
      </c>
      <c r="F66" s="51">
        <f t="shared" si="0"/>
        <v>0</v>
      </c>
    </row>
    <row r="67" spans="3:6">
      <c r="C67" s="48" t="s">
        <v>196</v>
      </c>
      <c r="D67" s="51"/>
      <c r="E67" s="51">
        <v>500</v>
      </c>
      <c r="F67" s="51">
        <f t="shared" ref="F67" si="1">D67*E67</f>
        <v>0</v>
      </c>
    </row>
    <row r="68" spans="3:6">
      <c r="C68" s="48" t="s">
        <v>228</v>
      </c>
      <c r="D68" s="51"/>
      <c r="E68" s="51">
        <v>700</v>
      </c>
      <c r="F68" s="51">
        <f t="shared" si="0"/>
        <v>0</v>
      </c>
    </row>
    <row r="69" spans="3:6">
      <c r="C69" s="49" t="s">
        <v>226</v>
      </c>
      <c r="D69" s="13">
        <v>6</v>
      </c>
      <c r="E69" s="13">
        <v>80</v>
      </c>
      <c r="F69" s="13">
        <f t="shared" si="0"/>
        <v>480</v>
      </c>
    </row>
    <row r="70" spans="3:6">
      <c r="C70" s="49" t="s">
        <v>149</v>
      </c>
      <c r="D70" s="13">
        <v>6</v>
      </c>
      <c r="E70" s="13">
        <v>110</v>
      </c>
      <c r="F70" s="13">
        <f t="shared" si="0"/>
        <v>660</v>
      </c>
    </row>
    <row r="71" spans="3:6">
      <c r="C71" s="49" t="s">
        <v>227</v>
      </c>
      <c r="D71" s="13">
        <v>25</v>
      </c>
      <c r="E71" s="13">
        <v>200</v>
      </c>
      <c r="F71" s="13">
        <f t="shared" si="0"/>
        <v>5000</v>
      </c>
    </row>
    <row r="72" spans="3:6">
      <c r="C72" s="49" t="s">
        <v>197</v>
      </c>
      <c r="D72" s="13"/>
      <c r="E72" s="13">
        <v>200</v>
      </c>
      <c r="F72" s="13">
        <f t="shared" si="0"/>
        <v>0</v>
      </c>
    </row>
    <row r="73" spans="3:6">
      <c r="C73" s="49" t="s">
        <v>225</v>
      </c>
      <c r="D73" s="13"/>
      <c r="E73" s="13">
        <v>225</v>
      </c>
      <c r="F73" s="13"/>
    </row>
    <row r="74" spans="3:6">
      <c r="C74" s="49" t="s">
        <v>198</v>
      </c>
      <c r="D74" s="13"/>
      <c r="E74" s="13">
        <v>300</v>
      </c>
      <c r="F74" s="13">
        <f t="shared" si="0"/>
        <v>0</v>
      </c>
    </row>
    <row r="75" spans="3:6">
      <c r="C75" s="54" t="s">
        <v>213</v>
      </c>
      <c r="D75" s="55"/>
      <c r="E75" s="55">
        <v>20</v>
      </c>
      <c r="F75" s="55">
        <f t="shared" si="0"/>
        <v>0</v>
      </c>
    </row>
    <row r="76" spans="3:6">
      <c r="C76" s="54" t="s">
        <v>212</v>
      </c>
      <c r="D76" s="55"/>
      <c r="E76" s="55">
        <v>18</v>
      </c>
      <c r="F76" s="55">
        <f t="shared" si="0"/>
        <v>0</v>
      </c>
    </row>
    <row r="77" spans="3:6">
      <c r="C77" s="54" t="s">
        <v>211</v>
      </c>
      <c r="D77" s="55"/>
      <c r="E77" s="55">
        <v>14</v>
      </c>
      <c r="F77" s="55"/>
    </row>
    <row r="78" spans="3:6">
      <c r="C78" s="54" t="s">
        <v>150</v>
      </c>
      <c r="D78" s="55">
        <v>20</v>
      </c>
      <c r="E78" s="55">
        <v>12</v>
      </c>
      <c r="F78" s="55">
        <f t="shared" ref="F78:F84" si="2">D78*E78</f>
        <v>240</v>
      </c>
    </row>
    <row r="79" spans="3:6">
      <c r="C79" s="54" t="s">
        <v>151</v>
      </c>
      <c r="D79" s="55">
        <v>20</v>
      </c>
      <c r="E79" s="55">
        <v>10</v>
      </c>
      <c r="F79" s="55">
        <f t="shared" si="2"/>
        <v>200</v>
      </c>
    </row>
    <row r="80" spans="3:6">
      <c r="C80" s="50" t="s">
        <v>199</v>
      </c>
      <c r="D80" s="56">
        <v>10</v>
      </c>
      <c r="E80" s="56">
        <v>12</v>
      </c>
      <c r="F80" s="56">
        <f t="shared" si="2"/>
        <v>120</v>
      </c>
    </row>
    <row r="81" spans="3:11">
      <c r="C81" s="50" t="s">
        <v>200</v>
      </c>
      <c r="D81" s="56">
        <v>5</v>
      </c>
      <c r="E81" s="56">
        <v>10</v>
      </c>
      <c r="F81" s="56">
        <f t="shared" si="2"/>
        <v>50</v>
      </c>
    </row>
    <row r="82" spans="3:11">
      <c r="C82" s="50" t="s">
        <v>201</v>
      </c>
      <c r="D82" s="56">
        <v>5</v>
      </c>
      <c r="E82" s="56">
        <v>8</v>
      </c>
      <c r="F82" s="56">
        <f t="shared" si="2"/>
        <v>40</v>
      </c>
    </row>
    <row r="83" spans="3:11">
      <c r="C83" s="31" t="s">
        <v>69</v>
      </c>
      <c r="D83" s="32">
        <v>0</v>
      </c>
      <c r="E83" s="32">
        <v>200</v>
      </c>
      <c r="F83" s="32">
        <f t="shared" si="2"/>
        <v>0</v>
      </c>
    </row>
    <row r="84" spans="3:11">
      <c r="C84" s="31" t="s">
        <v>202</v>
      </c>
      <c r="D84" s="32">
        <v>0</v>
      </c>
      <c r="E84" s="32">
        <v>200</v>
      </c>
      <c r="F84" s="32">
        <f t="shared" si="2"/>
        <v>0</v>
      </c>
    </row>
    <row r="85" spans="3:11">
      <c r="C85" s="31" t="s">
        <v>152</v>
      </c>
      <c r="D85" s="32"/>
      <c r="E85" s="32"/>
      <c r="F85" s="32">
        <f>SUM(F3:F84)</f>
        <v>21409</v>
      </c>
    </row>
    <row r="86" spans="3:11" ht="15.75" customHeight="1">
      <c r="C86" s="61" t="s">
        <v>160</v>
      </c>
      <c r="D86" s="61"/>
      <c r="E86" s="61"/>
      <c r="F86" s="61"/>
      <c r="G86" s="36"/>
      <c r="H86" s="36"/>
      <c r="I86" s="36"/>
      <c r="J86" s="36"/>
      <c r="K86" s="36"/>
    </row>
    <row r="87" spans="3:11">
      <c r="C87" s="62"/>
      <c r="D87" s="62"/>
      <c r="E87" s="62"/>
      <c r="F87" s="62"/>
      <c r="G87" s="36"/>
      <c r="H87" s="36"/>
      <c r="I87" s="36"/>
      <c r="J87" s="36"/>
      <c r="K87" s="36"/>
    </row>
    <row r="88" spans="3:11">
      <c r="C88" s="62"/>
      <c r="D88" s="62"/>
      <c r="E88" s="62"/>
      <c r="F88" s="62"/>
      <c r="G88" s="36"/>
      <c r="H88" s="36"/>
      <c r="I88" s="36"/>
      <c r="J88" s="36"/>
      <c r="K88" s="36"/>
    </row>
    <row r="89" spans="3:11">
      <c r="C89" s="62"/>
      <c r="D89" s="62"/>
      <c r="E89" s="62"/>
      <c r="F89" s="62"/>
      <c r="G89" s="36"/>
      <c r="H89" s="36"/>
      <c r="I89" s="36"/>
      <c r="J89" s="36"/>
      <c r="K89" s="36"/>
    </row>
    <row r="90" spans="3:11">
      <c r="C90" s="62"/>
      <c r="D90" s="62"/>
      <c r="E90" s="62"/>
      <c r="F90" s="62"/>
      <c r="G90" s="36"/>
      <c r="H90" s="36"/>
      <c r="I90" s="36"/>
      <c r="J90" s="36"/>
      <c r="K90" s="36"/>
    </row>
    <row r="91" spans="3:11">
      <c r="C91" s="62"/>
      <c r="D91" s="62"/>
      <c r="E91" s="62"/>
      <c r="F91" s="62"/>
    </row>
  </sheetData>
  <mergeCells count="2">
    <mergeCell ref="C86:F91"/>
    <mergeCell ref="C1:F1"/>
  </mergeCells>
  <pageMargins left="0.7" right="0.7" top="0.75" bottom="0.75" header="0.3" footer="0.3"/>
  <pageSetup paperSize="9"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4"/>
  <sheetViews>
    <sheetView workbookViewId="0">
      <selection activeCell="E52" sqref="E52"/>
    </sheetView>
  </sheetViews>
  <sheetFormatPr defaultRowHeight="15"/>
  <cols>
    <col min="1" max="1" width="37" bestFit="1" customWidth="1"/>
    <col min="2" max="2" width="16.5703125" bestFit="1" customWidth="1"/>
    <col min="3" max="3" width="7.85546875" bestFit="1" customWidth="1"/>
  </cols>
  <sheetData>
    <row r="1" spans="1:5">
      <c r="A1" s="14" t="s">
        <v>48</v>
      </c>
      <c r="B1" s="15" t="s">
        <v>49</v>
      </c>
      <c r="C1" s="15" t="s">
        <v>50</v>
      </c>
      <c r="D1" s="1" t="s">
        <v>46</v>
      </c>
      <c r="E1" s="1" t="s">
        <v>81</v>
      </c>
    </row>
    <row r="2" spans="1:5">
      <c r="A2" s="14" t="s">
        <v>145</v>
      </c>
      <c r="B2" s="15"/>
      <c r="C2" s="15">
        <v>1</v>
      </c>
      <c r="D2" s="1">
        <v>500</v>
      </c>
      <c r="E2" s="1">
        <f>C2*D2</f>
        <v>500</v>
      </c>
    </row>
    <row r="3" spans="1:5">
      <c r="A3" s="14" t="s">
        <v>51</v>
      </c>
      <c r="B3" s="15" t="s">
        <v>76</v>
      </c>
      <c r="C3" s="15">
        <v>1</v>
      </c>
      <c r="D3" s="17">
        <v>250</v>
      </c>
      <c r="E3" s="1">
        <f t="shared" ref="E3:E53" si="0">C3*D3</f>
        <v>250</v>
      </c>
    </row>
    <row r="4" spans="1:5">
      <c r="A4" s="14" t="s">
        <v>52</v>
      </c>
      <c r="B4" s="15"/>
      <c r="C4" s="15">
        <v>1</v>
      </c>
      <c r="D4" s="17">
        <v>1000</v>
      </c>
      <c r="E4" s="1">
        <f t="shared" si="0"/>
        <v>1000</v>
      </c>
    </row>
    <row r="5" spans="1:5">
      <c r="A5" s="14" t="s">
        <v>53</v>
      </c>
      <c r="B5" s="15"/>
      <c r="C5" s="15">
        <v>1</v>
      </c>
      <c r="D5" s="1">
        <v>100</v>
      </c>
      <c r="E5" s="1">
        <f t="shared" si="0"/>
        <v>100</v>
      </c>
    </row>
    <row r="6" spans="1:5">
      <c r="A6" s="14" t="s">
        <v>90</v>
      </c>
      <c r="B6" s="15" t="s">
        <v>76</v>
      </c>
      <c r="C6" s="15">
        <v>1</v>
      </c>
      <c r="D6" s="1">
        <v>40</v>
      </c>
      <c r="E6" s="1">
        <f t="shared" si="0"/>
        <v>40</v>
      </c>
    </row>
    <row r="7" spans="1:5">
      <c r="A7" s="14" t="s">
        <v>91</v>
      </c>
      <c r="B7" s="15" t="s">
        <v>76</v>
      </c>
      <c r="C7" s="15">
        <v>1</v>
      </c>
      <c r="D7" s="1">
        <v>30</v>
      </c>
      <c r="E7" s="1">
        <f t="shared" si="0"/>
        <v>30</v>
      </c>
    </row>
    <row r="8" spans="1:5">
      <c r="A8" s="14" t="s">
        <v>54</v>
      </c>
      <c r="B8" s="15"/>
      <c r="C8" s="15">
        <v>2</v>
      </c>
      <c r="D8" s="1">
        <v>10</v>
      </c>
      <c r="E8" s="1">
        <f t="shared" si="0"/>
        <v>20</v>
      </c>
    </row>
    <row r="9" spans="1:5">
      <c r="A9" s="14" t="s">
        <v>82</v>
      </c>
      <c r="B9" s="15" t="s">
        <v>83</v>
      </c>
      <c r="C9" s="15">
        <v>1</v>
      </c>
      <c r="D9" s="1">
        <v>50</v>
      </c>
      <c r="E9" s="1">
        <f t="shared" si="0"/>
        <v>50</v>
      </c>
    </row>
    <row r="10" spans="1:5">
      <c r="A10" s="14" t="s">
        <v>55</v>
      </c>
      <c r="B10" s="15"/>
      <c r="C10" s="15">
        <v>1</v>
      </c>
      <c r="D10" s="1">
        <v>50</v>
      </c>
      <c r="E10" s="1">
        <f t="shared" si="0"/>
        <v>50</v>
      </c>
    </row>
    <row r="11" spans="1:5">
      <c r="A11" s="14" t="s">
        <v>56</v>
      </c>
      <c r="B11" s="15"/>
      <c r="C11" s="15">
        <v>4</v>
      </c>
      <c r="D11" s="1">
        <v>50</v>
      </c>
      <c r="E11" s="1">
        <f t="shared" si="0"/>
        <v>200</v>
      </c>
    </row>
    <row r="12" spans="1:5">
      <c r="A12" s="14" t="s">
        <v>88</v>
      </c>
      <c r="B12" s="15"/>
      <c r="C12" s="15">
        <v>1</v>
      </c>
      <c r="D12" s="1">
        <v>25</v>
      </c>
      <c r="E12" s="1">
        <f t="shared" si="0"/>
        <v>25</v>
      </c>
    </row>
    <row r="13" spans="1:5">
      <c r="A13" s="14" t="s">
        <v>57</v>
      </c>
      <c r="B13" s="15"/>
      <c r="C13" s="15">
        <v>1</v>
      </c>
      <c r="D13" s="1">
        <v>150</v>
      </c>
      <c r="E13" s="1">
        <f t="shared" si="0"/>
        <v>150</v>
      </c>
    </row>
    <row r="14" spans="1:5">
      <c r="A14" s="14" t="s">
        <v>58</v>
      </c>
      <c r="B14" s="15"/>
      <c r="C14" s="15">
        <v>1</v>
      </c>
      <c r="D14" s="1">
        <v>150</v>
      </c>
      <c r="E14" s="1">
        <f t="shared" si="0"/>
        <v>150</v>
      </c>
    </row>
    <row r="15" spans="1:5">
      <c r="A15" s="14" t="s">
        <v>59</v>
      </c>
      <c r="B15" s="15"/>
      <c r="C15" s="15">
        <v>1</v>
      </c>
      <c r="D15" s="1">
        <v>200</v>
      </c>
      <c r="E15" s="1">
        <f t="shared" si="0"/>
        <v>200</v>
      </c>
    </row>
    <row r="16" spans="1:5">
      <c r="A16" s="14" t="s">
        <v>60</v>
      </c>
      <c r="B16" s="15"/>
      <c r="C16" s="15">
        <v>2</v>
      </c>
      <c r="D16" s="1">
        <v>30</v>
      </c>
      <c r="E16" s="1">
        <f t="shared" si="0"/>
        <v>60</v>
      </c>
    </row>
    <row r="17" spans="1:5">
      <c r="A17" s="14" t="s">
        <v>61</v>
      </c>
      <c r="B17" s="15"/>
      <c r="C17" s="15">
        <v>1</v>
      </c>
      <c r="D17" s="1">
        <v>50</v>
      </c>
      <c r="E17" s="1">
        <f t="shared" si="0"/>
        <v>50</v>
      </c>
    </row>
    <row r="18" spans="1:5">
      <c r="A18" s="14" t="s">
        <v>62</v>
      </c>
      <c r="B18" s="15"/>
      <c r="C18" s="15"/>
      <c r="D18" s="1"/>
      <c r="E18" s="1">
        <f t="shared" si="0"/>
        <v>0</v>
      </c>
    </row>
    <row r="19" spans="1:5">
      <c r="A19" s="14" t="s">
        <v>84</v>
      </c>
      <c r="B19" s="15" t="s">
        <v>85</v>
      </c>
      <c r="C19" s="15">
        <v>1</v>
      </c>
      <c r="D19" s="1">
        <v>150</v>
      </c>
      <c r="E19" s="1">
        <f t="shared" si="0"/>
        <v>150</v>
      </c>
    </row>
    <row r="20" spans="1:5">
      <c r="A20" s="14" t="s">
        <v>63</v>
      </c>
      <c r="B20" s="15" t="s">
        <v>75</v>
      </c>
      <c r="C20" s="15">
        <v>1</v>
      </c>
      <c r="D20" s="1">
        <v>50</v>
      </c>
      <c r="E20" s="1">
        <f t="shared" si="0"/>
        <v>50</v>
      </c>
    </row>
    <row r="21" spans="1:5">
      <c r="A21" s="14" t="s">
        <v>64</v>
      </c>
      <c r="B21" s="15" t="s">
        <v>75</v>
      </c>
      <c r="C21" s="15"/>
      <c r="D21" s="1">
        <v>160</v>
      </c>
      <c r="E21" s="1">
        <f t="shared" si="0"/>
        <v>0</v>
      </c>
    </row>
    <row r="22" spans="1:5">
      <c r="A22" s="41" t="s">
        <v>65</v>
      </c>
      <c r="B22" s="40" t="s">
        <v>75</v>
      </c>
      <c r="C22" s="40"/>
      <c r="D22" s="42">
        <v>220</v>
      </c>
      <c r="E22" s="42">
        <f t="shared" si="0"/>
        <v>0</v>
      </c>
    </row>
    <row r="23" spans="1:5">
      <c r="A23" s="41" t="s">
        <v>65</v>
      </c>
      <c r="B23" s="40" t="s">
        <v>76</v>
      </c>
      <c r="C23" s="40"/>
      <c r="D23" s="42"/>
      <c r="E23" s="42">
        <f t="shared" si="0"/>
        <v>0</v>
      </c>
    </row>
    <row r="24" spans="1:5">
      <c r="A24" s="41" t="s">
        <v>65</v>
      </c>
      <c r="B24" s="40" t="s">
        <v>77</v>
      </c>
      <c r="C24" s="40"/>
      <c r="D24" s="42"/>
      <c r="E24" s="42">
        <f t="shared" si="0"/>
        <v>0</v>
      </c>
    </row>
    <row r="25" spans="1:5">
      <c r="A25" s="41" t="s">
        <v>65</v>
      </c>
      <c r="B25" s="40" t="s">
        <v>78</v>
      </c>
      <c r="C25" s="40">
        <v>0</v>
      </c>
      <c r="D25" s="42">
        <v>230</v>
      </c>
      <c r="E25" s="42">
        <f t="shared" si="0"/>
        <v>0</v>
      </c>
    </row>
    <row r="26" spans="1:5">
      <c r="A26" s="43" t="s">
        <v>66</v>
      </c>
      <c r="B26" s="44" t="s">
        <v>75</v>
      </c>
      <c r="C26" s="44">
        <v>24</v>
      </c>
      <c r="D26" s="45">
        <v>115</v>
      </c>
      <c r="E26" s="45">
        <f t="shared" si="0"/>
        <v>2760</v>
      </c>
    </row>
    <row r="27" spans="1:5">
      <c r="A27" s="43" t="s">
        <v>66</v>
      </c>
      <c r="B27" s="44" t="s">
        <v>76</v>
      </c>
      <c r="C27" s="44">
        <v>0</v>
      </c>
      <c r="D27" s="45">
        <v>150</v>
      </c>
      <c r="E27" s="45">
        <f t="shared" si="0"/>
        <v>0</v>
      </c>
    </row>
    <row r="28" spans="1:5">
      <c r="A28" s="43" t="s">
        <v>66</v>
      </c>
      <c r="B28" s="44" t="s">
        <v>77</v>
      </c>
      <c r="C28" s="44">
        <v>0</v>
      </c>
      <c r="D28" s="45">
        <v>180</v>
      </c>
      <c r="E28" s="45">
        <f t="shared" si="0"/>
        <v>0</v>
      </c>
    </row>
    <row r="29" spans="1:5">
      <c r="A29" s="43" t="s">
        <v>66</v>
      </c>
      <c r="B29" s="44" t="s">
        <v>78</v>
      </c>
      <c r="C29" s="44">
        <v>24</v>
      </c>
      <c r="D29" s="45">
        <v>230</v>
      </c>
      <c r="E29" s="45">
        <f t="shared" si="0"/>
        <v>5520</v>
      </c>
    </row>
    <row r="30" spans="1:5">
      <c r="A30" s="43" t="s">
        <v>66</v>
      </c>
      <c r="B30" s="44" t="s">
        <v>79</v>
      </c>
      <c r="C30" s="44"/>
      <c r="D30" s="45"/>
      <c r="E30" s="45">
        <f t="shared" si="0"/>
        <v>0</v>
      </c>
    </row>
    <row r="31" spans="1:5">
      <c r="A31" s="14" t="s">
        <v>67</v>
      </c>
      <c r="B31" s="15" t="s">
        <v>75</v>
      </c>
      <c r="C31" s="15">
        <v>30</v>
      </c>
      <c r="D31" s="1">
        <v>20</v>
      </c>
      <c r="E31" s="1">
        <f t="shared" si="0"/>
        <v>600</v>
      </c>
    </row>
    <row r="32" spans="1:5">
      <c r="A32" s="14" t="s">
        <v>67</v>
      </c>
      <c r="B32" s="15" t="s">
        <v>76</v>
      </c>
      <c r="C32" s="15">
        <v>30</v>
      </c>
      <c r="D32" s="1">
        <v>20</v>
      </c>
      <c r="E32" s="1">
        <f t="shared" si="0"/>
        <v>600</v>
      </c>
    </row>
    <row r="33" spans="1:5">
      <c r="A33" s="14" t="s">
        <v>67</v>
      </c>
      <c r="B33" s="15" t="s">
        <v>77</v>
      </c>
      <c r="C33" s="15">
        <v>20</v>
      </c>
      <c r="D33" s="1">
        <v>20</v>
      </c>
      <c r="E33" s="1">
        <f t="shared" si="0"/>
        <v>400</v>
      </c>
    </row>
    <row r="34" spans="1:5">
      <c r="A34" s="14" t="s">
        <v>67</v>
      </c>
      <c r="B34" s="15" t="s">
        <v>78</v>
      </c>
      <c r="C34" s="15">
        <v>10</v>
      </c>
      <c r="D34" s="1">
        <v>33</v>
      </c>
      <c r="E34" s="1">
        <f t="shared" si="0"/>
        <v>330</v>
      </c>
    </row>
    <row r="35" spans="1:5">
      <c r="A35" s="14" t="s">
        <v>67</v>
      </c>
      <c r="B35" s="15" t="s">
        <v>79</v>
      </c>
      <c r="C35" s="15"/>
      <c r="D35" s="1"/>
      <c r="E35" s="1">
        <f t="shared" si="0"/>
        <v>0</v>
      </c>
    </row>
    <row r="36" spans="1:5">
      <c r="A36" s="14" t="s">
        <v>68</v>
      </c>
      <c r="B36" s="15" t="s">
        <v>75</v>
      </c>
      <c r="C36" s="15">
        <v>30</v>
      </c>
      <c r="D36" s="1">
        <v>20</v>
      </c>
      <c r="E36" s="1">
        <f t="shared" si="0"/>
        <v>600</v>
      </c>
    </row>
    <row r="37" spans="1:5">
      <c r="A37" s="14" t="s">
        <v>68</v>
      </c>
      <c r="B37" s="15" t="s">
        <v>76</v>
      </c>
      <c r="C37" s="15">
        <v>15</v>
      </c>
      <c r="D37" s="1">
        <v>15</v>
      </c>
      <c r="E37" s="1">
        <f t="shared" si="0"/>
        <v>225</v>
      </c>
    </row>
    <row r="38" spans="1:5">
      <c r="A38" s="14" t="s">
        <v>68</v>
      </c>
      <c r="B38" s="15" t="s">
        <v>77</v>
      </c>
      <c r="C38" s="15">
        <v>10</v>
      </c>
      <c r="D38" s="1">
        <v>20</v>
      </c>
      <c r="E38" s="1">
        <f t="shared" si="0"/>
        <v>200</v>
      </c>
    </row>
    <row r="39" spans="1:5">
      <c r="A39" s="14" t="s">
        <v>68</v>
      </c>
      <c r="B39" s="15" t="s">
        <v>78</v>
      </c>
      <c r="C39" s="15">
        <v>10</v>
      </c>
      <c r="D39" s="1">
        <v>25</v>
      </c>
      <c r="E39" s="1">
        <f t="shared" si="0"/>
        <v>250</v>
      </c>
    </row>
    <row r="40" spans="1:5">
      <c r="A40" s="14" t="s">
        <v>68</v>
      </c>
      <c r="B40" s="15" t="s">
        <v>79</v>
      </c>
      <c r="C40" s="15"/>
      <c r="D40" s="1"/>
      <c r="E40" s="1">
        <f t="shared" si="0"/>
        <v>0</v>
      </c>
    </row>
    <row r="41" spans="1:5">
      <c r="A41" s="14" t="s">
        <v>69</v>
      </c>
      <c r="B41" s="15"/>
      <c r="C41" s="15">
        <v>2</v>
      </c>
      <c r="D41" s="1">
        <v>500</v>
      </c>
      <c r="E41" s="1">
        <f t="shared" si="0"/>
        <v>1000</v>
      </c>
    </row>
    <row r="42" spans="1:5">
      <c r="A42" s="14" t="s">
        <v>70</v>
      </c>
      <c r="B42" s="15"/>
      <c r="C42" s="15">
        <v>1</v>
      </c>
      <c r="D42" s="1">
        <v>300</v>
      </c>
      <c r="E42" s="1">
        <f t="shared" si="0"/>
        <v>300</v>
      </c>
    </row>
    <row r="43" spans="1:5">
      <c r="A43" s="14" t="s">
        <v>71</v>
      </c>
      <c r="B43" s="15" t="s">
        <v>86</v>
      </c>
      <c r="C43" s="15">
        <v>2</v>
      </c>
      <c r="D43" s="1">
        <v>25</v>
      </c>
      <c r="E43" s="1">
        <f t="shared" si="0"/>
        <v>50</v>
      </c>
    </row>
    <row r="44" spans="1:5">
      <c r="A44" s="14" t="s">
        <v>71</v>
      </c>
      <c r="B44" s="15"/>
      <c r="C44" s="15"/>
      <c r="D44" s="1"/>
      <c r="E44" s="1">
        <f t="shared" si="0"/>
        <v>0</v>
      </c>
    </row>
    <row r="45" spans="1:5">
      <c r="A45" s="14" t="s">
        <v>71</v>
      </c>
      <c r="B45" s="15"/>
      <c r="C45" s="15"/>
      <c r="D45" s="1"/>
      <c r="E45" s="1">
        <f t="shared" si="0"/>
        <v>0</v>
      </c>
    </row>
    <row r="46" spans="1:5">
      <c r="A46" s="14" t="s">
        <v>71</v>
      </c>
      <c r="B46" s="15"/>
      <c r="C46" s="15"/>
      <c r="D46" s="1"/>
      <c r="E46" s="1">
        <f t="shared" si="0"/>
        <v>0</v>
      </c>
    </row>
    <row r="47" spans="1:5">
      <c r="A47" s="14" t="s">
        <v>71</v>
      </c>
      <c r="B47" s="15"/>
      <c r="C47" s="15"/>
      <c r="D47" s="1"/>
      <c r="E47" s="1">
        <f t="shared" si="0"/>
        <v>0</v>
      </c>
    </row>
    <row r="48" spans="1:5">
      <c r="A48" s="14" t="s">
        <v>71</v>
      </c>
      <c r="B48" s="15"/>
      <c r="C48" s="15"/>
      <c r="D48" s="1"/>
      <c r="E48" s="1">
        <f t="shared" si="0"/>
        <v>0</v>
      </c>
    </row>
    <row r="49" spans="1:5">
      <c r="A49" s="14" t="s">
        <v>72</v>
      </c>
      <c r="B49" s="15"/>
      <c r="C49" s="15"/>
      <c r="D49" s="1"/>
      <c r="E49" s="1">
        <f t="shared" si="0"/>
        <v>0</v>
      </c>
    </row>
    <row r="50" spans="1:5">
      <c r="A50" s="14" t="s">
        <v>73</v>
      </c>
      <c r="B50" s="15"/>
      <c r="C50" s="15"/>
      <c r="D50" s="1"/>
      <c r="E50" s="1">
        <f t="shared" si="0"/>
        <v>0</v>
      </c>
    </row>
    <row r="51" spans="1:5">
      <c r="A51" s="14" t="s">
        <v>80</v>
      </c>
      <c r="B51" s="15"/>
      <c r="C51" s="15"/>
      <c r="D51" s="1">
        <v>150</v>
      </c>
      <c r="E51" s="1">
        <f t="shared" si="0"/>
        <v>0</v>
      </c>
    </row>
    <row r="52" spans="1:5">
      <c r="A52" s="14" t="s">
        <v>89</v>
      </c>
      <c r="B52" s="15"/>
      <c r="C52" s="15">
        <v>1</v>
      </c>
      <c r="D52" s="1">
        <v>600</v>
      </c>
      <c r="E52" s="1">
        <f t="shared" si="0"/>
        <v>600</v>
      </c>
    </row>
    <row r="53" spans="1:5">
      <c r="A53" s="14" t="s">
        <v>74</v>
      </c>
      <c r="B53" s="15"/>
      <c r="C53" s="15"/>
      <c r="D53" s="1"/>
      <c r="E53" s="1">
        <f t="shared" si="0"/>
        <v>0</v>
      </c>
    </row>
    <row r="54" spans="1:5">
      <c r="E54" s="37">
        <f>SUM(E2:E53)</f>
        <v>16510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B1:F41"/>
  <sheetViews>
    <sheetView workbookViewId="0">
      <selection activeCell="D10" sqref="D10"/>
    </sheetView>
  </sheetViews>
  <sheetFormatPr defaultRowHeight="15"/>
  <cols>
    <col min="2" max="2" width="55.42578125" bestFit="1" customWidth="1"/>
  </cols>
  <sheetData>
    <row r="1" spans="2:6">
      <c r="B1" s="64" t="s">
        <v>144</v>
      </c>
      <c r="C1" s="64"/>
      <c r="D1" s="64"/>
      <c r="E1" s="64"/>
    </row>
    <row r="2" spans="2:6" ht="18.75">
      <c r="B2" s="23" t="s">
        <v>0</v>
      </c>
      <c r="C2" s="24" t="s">
        <v>2</v>
      </c>
      <c r="D2" s="24" t="s">
        <v>1</v>
      </c>
      <c r="E2" s="24" t="s">
        <v>3</v>
      </c>
    </row>
    <row r="3" spans="2:6" s="20" customFormat="1" ht="18.75">
      <c r="B3" s="21" t="s">
        <v>128</v>
      </c>
      <c r="C3" s="22">
        <v>0</v>
      </c>
      <c r="D3" s="22">
        <v>100</v>
      </c>
      <c r="E3" s="22">
        <f>C3*D3</f>
        <v>0</v>
      </c>
    </row>
    <row r="4" spans="2:6" s="20" customFormat="1" ht="18.75">
      <c r="B4" s="21" t="s">
        <v>129</v>
      </c>
      <c r="C4" s="22">
        <v>40</v>
      </c>
      <c r="D4" s="22">
        <v>30</v>
      </c>
      <c r="E4" s="22">
        <f t="shared" ref="E4:E40" si="0">C4*D4</f>
        <v>1200</v>
      </c>
    </row>
    <row r="5" spans="2:6" s="20" customFormat="1" ht="18.75">
      <c r="B5" s="21" t="s">
        <v>130</v>
      </c>
      <c r="C5" s="22">
        <v>40</v>
      </c>
      <c r="D5" s="22">
        <v>20</v>
      </c>
      <c r="E5" s="22">
        <f t="shared" si="0"/>
        <v>800</v>
      </c>
    </row>
    <row r="6" spans="2:6" s="20" customFormat="1" ht="18.75">
      <c r="B6" s="21" t="s">
        <v>131</v>
      </c>
      <c r="C6" s="22">
        <v>40</v>
      </c>
      <c r="D6" s="22">
        <v>12</v>
      </c>
      <c r="E6" s="22">
        <f t="shared" si="0"/>
        <v>480</v>
      </c>
    </row>
    <row r="7" spans="2:6" ht="18.75">
      <c r="B7" s="18" t="s">
        <v>121</v>
      </c>
      <c r="C7" s="19">
        <v>1</v>
      </c>
      <c r="D7" s="19">
        <v>400</v>
      </c>
      <c r="E7" s="22">
        <f t="shared" si="0"/>
        <v>400</v>
      </c>
      <c r="F7" s="20"/>
    </row>
    <row r="8" spans="2:6" ht="18.75">
      <c r="B8" s="18" t="s">
        <v>94</v>
      </c>
      <c r="C8" s="19">
        <v>30</v>
      </c>
      <c r="D8" s="19">
        <v>10</v>
      </c>
      <c r="E8" s="22">
        <f t="shared" si="0"/>
        <v>300</v>
      </c>
      <c r="F8" s="20"/>
    </row>
    <row r="9" spans="2:6" ht="18.75">
      <c r="B9" s="18" t="s">
        <v>95</v>
      </c>
      <c r="C9" s="19">
        <v>20</v>
      </c>
      <c r="D9" s="19">
        <v>15</v>
      </c>
      <c r="E9" s="22">
        <f t="shared" si="0"/>
        <v>300</v>
      </c>
      <c r="F9" s="20"/>
    </row>
    <row r="10" spans="2:6" ht="18.75">
      <c r="B10" s="18" t="s">
        <v>97</v>
      </c>
      <c r="C10" s="19">
        <v>30</v>
      </c>
      <c r="D10" s="19">
        <v>7</v>
      </c>
      <c r="E10" s="22">
        <f t="shared" si="0"/>
        <v>210</v>
      </c>
      <c r="F10" s="20"/>
    </row>
    <row r="11" spans="2:6" ht="18.75">
      <c r="B11" s="18" t="s">
        <v>98</v>
      </c>
      <c r="C11" s="19">
        <v>20</v>
      </c>
      <c r="D11" s="19">
        <v>8</v>
      </c>
      <c r="E11" s="22">
        <f t="shared" si="0"/>
        <v>160</v>
      </c>
      <c r="F11" s="20"/>
    </row>
    <row r="12" spans="2:6" ht="18.75">
      <c r="B12" s="18" t="s">
        <v>99</v>
      </c>
      <c r="C12" s="19">
        <v>50</v>
      </c>
      <c r="D12" s="19">
        <v>5</v>
      </c>
      <c r="E12" s="22">
        <f t="shared" si="0"/>
        <v>250</v>
      </c>
      <c r="F12" s="20"/>
    </row>
    <row r="13" spans="2:6" ht="18.75">
      <c r="B13" s="18" t="s">
        <v>100</v>
      </c>
      <c r="C13" s="19">
        <v>30</v>
      </c>
      <c r="D13" s="19">
        <v>6</v>
      </c>
      <c r="E13" s="22">
        <f t="shared" si="0"/>
        <v>180</v>
      </c>
      <c r="F13" s="20"/>
    </row>
    <row r="14" spans="2:6" ht="18.75">
      <c r="B14" s="18" t="s">
        <v>96</v>
      </c>
      <c r="C14" s="19">
        <v>10</v>
      </c>
      <c r="D14" s="19">
        <v>10</v>
      </c>
      <c r="E14" s="22">
        <f t="shared" si="0"/>
        <v>100</v>
      </c>
      <c r="F14" s="20"/>
    </row>
    <row r="15" spans="2:6" ht="18.75">
      <c r="B15" s="18" t="s">
        <v>101</v>
      </c>
      <c r="C15" s="19">
        <v>10</v>
      </c>
      <c r="D15" s="19">
        <v>5</v>
      </c>
      <c r="E15" s="22">
        <f t="shared" si="0"/>
        <v>50</v>
      </c>
      <c r="F15" s="20"/>
    </row>
    <row r="16" spans="2:6" ht="18.75">
      <c r="B16" s="18" t="s">
        <v>102</v>
      </c>
      <c r="C16" s="19">
        <v>10</v>
      </c>
      <c r="D16" s="19">
        <v>4</v>
      </c>
      <c r="E16" s="22">
        <f t="shared" si="0"/>
        <v>40</v>
      </c>
      <c r="F16" s="20"/>
    </row>
    <row r="17" spans="2:6" ht="18.75">
      <c r="B17" s="18" t="s">
        <v>103</v>
      </c>
      <c r="C17" s="19">
        <v>6</v>
      </c>
      <c r="D17" s="19">
        <v>15</v>
      </c>
      <c r="E17" s="22">
        <f t="shared" si="0"/>
        <v>90</v>
      </c>
      <c r="F17" s="20"/>
    </row>
    <row r="18" spans="2:6" ht="18.75">
      <c r="B18" s="18" t="s">
        <v>104</v>
      </c>
      <c r="C18" s="19">
        <v>6</v>
      </c>
      <c r="D18" s="19">
        <v>10</v>
      </c>
      <c r="E18" s="22">
        <f t="shared" si="0"/>
        <v>60</v>
      </c>
      <c r="F18" s="20"/>
    </row>
    <row r="19" spans="2:6" ht="18.75">
      <c r="B19" s="18" t="s">
        <v>105</v>
      </c>
      <c r="C19" s="19">
        <v>6</v>
      </c>
      <c r="D19" s="19">
        <v>7</v>
      </c>
      <c r="E19" s="22">
        <f t="shared" si="0"/>
        <v>42</v>
      </c>
      <c r="F19" s="20"/>
    </row>
    <row r="20" spans="2:6" ht="18.75">
      <c r="B20" s="18" t="s">
        <v>106</v>
      </c>
      <c r="C20" s="19">
        <v>8</v>
      </c>
      <c r="D20" s="19">
        <v>15</v>
      </c>
      <c r="E20" s="22">
        <f t="shared" si="0"/>
        <v>120</v>
      </c>
      <c r="F20" s="20"/>
    </row>
    <row r="21" spans="2:6" ht="18.75">
      <c r="B21" s="18" t="s">
        <v>107</v>
      </c>
      <c r="C21" s="19">
        <v>6</v>
      </c>
      <c r="D21" s="19">
        <v>15</v>
      </c>
      <c r="E21" s="22">
        <f t="shared" si="0"/>
        <v>90</v>
      </c>
      <c r="F21" s="20"/>
    </row>
    <row r="22" spans="2:6" ht="18.75">
      <c r="B22" s="18" t="s">
        <v>108</v>
      </c>
      <c r="C22" s="19">
        <v>6</v>
      </c>
      <c r="D22" s="19">
        <v>7</v>
      </c>
      <c r="E22" s="22">
        <f t="shared" si="0"/>
        <v>42</v>
      </c>
      <c r="F22" s="20"/>
    </row>
    <row r="23" spans="2:6" ht="18.75">
      <c r="B23" s="18" t="s">
        <v>109</v>
      </c>
      <c r="C23" s="19">
        <v>2</v>
      </c>
      <c r="D23" s="19">
        <v>50</v>
      </c>
      <c r="E23" s="22">
        <f t="shared" si="0"/>
        <v>100</v>
      </c>
      <c r="F23" s="20"/>
    </row>
    <row r="24" spans="2:6" ht="18.75">
      <c r="B24" s="18" t="s">
        <v>110</v>
      </c>
      <c r="C24" s="19">
        <v>8</v>
      </c>
      <c r="D24" s="19">
        <v>10</v>
      </c>
      <c r="E24" s="22">
        <f t="shared" si="0"/>
        <v>80</v>
      </c>
      <c r="F24" s="20"/>
    </row>
    <row r="25" spans="2:6" ht="18.75">
      <c r="B25" s="18" t="s">
        <v>111</v>
      </c>
      <c r="C25" s="19">
        <v>8</v>
      </c>
      <c r="D25" s="19">
        <v>5</v>
      </c>
      <c r="E25" s="22">
        <f t="shared" si="0"/>
        <v>40</v>
      </c>
      <c r="F25" s="20"/>
    </row>
    <row r="26" spans="2:6" ht="18.75">
      <c r="B26" s="18" t="s">
        <v>112</v>
      </c>
      <c r="C26" s="19">
        <v>30</v>
      </c>
      <c r="D26" s="19">
        <v>7</v>
      </c>
      <c r="E26" s="22">
        <f t="shared" si="0"/>
        <v>210</v>
      </c>
      <c r="F26" s="20"/>
    </row>
    <row r="27" spans="2:6" ht="18.75">
      <c r="B27" s="18" t="s">
        <v>113</v>
      </c>
      <c r="C27" s="19">
        <v>6</v>
      </c>
      <c r="D27" s="19">
        <v>5</v>
      </c>
      <c r="E27" s="22">
        <f t="shared" si="0"/>
        <v>30</v>
      </c>
      <c r="F27" s="20"/>
    </row>
    <row r="28" spans="2:6" ht="18.75">
      <c r="B28" s="18" t="s">
        <v>114</v>
      </c>
      <c r="C28" s="19">
        <v>30</v>
      </c>
      <c r="D28" s="19">
        <v>5</v>
      </c>
      <c r="E28" s="22">
        <f t="shared" si="0"/>
        <v>150</v>
      </c>
      <c r="F28" s="20"/>
    </row>
    <row r="29" spans="2:6" ht="18.75">
      <c r="B29" s="18" t="s">
        <v>115</v>
      </c>
      <c r="C29" s="19">
        <v>40</v>
      </c>
      <c r="D29" s="19">
        <v>5</v>
      </c>
      <c r="E29" s="22">
        <f t="shared" si="0"/>
        <v>200</v>
      </c>
      <c r="F29" s="20"/>
    </row>
    <row r="30" spans="2:6" ht="18.75">
      <c r="B30" s="18" t="s">
        <v>116</v>
      </c>
      <c r="C30" s="19">
        <v>15</v>
      </c>
      <c r="D30" s="19">
        <v>5</v>
      </c>
      <c r="E30" s="22">
        <f t="shared" si="0"/>
        <v>75</v>
      </c>
      <c r="F30" s="20"/>
    </row>
    <row r="31" spans="2:6" ht="18.75">
      <c r="B31" s="18" t="s">
        <v>117</v>
      </c>
      <c r="C31" s="19">
        <v>30</v>
      </c>
      <c r="D31" s="19">
        <v>40</v>
      </c>
      <c r="E31" s="22">
        <f t="shared" si="0"/>
        <v>1200</v>
      </c>
      <c r="F31" s="20"/>
    </row>
    <row r="32" spans="2:6" ht="18.75">
      <c r="B32" s="18" t="s">
        <v>118</v>
      </c>
      <c r="C32" s="19">
        <v>25</v>
      </c>
      <c r="D32" s="19">
        <v>40</v>
      </c>
      <c r="E32" s="22">
        <f t="shared" si="0"/>
        <v>1000</v>
      </c>
      <c r="F32" s="20"/>
    </row>
    <row r="33" spans="2:6" ht="18.75">
      <c r="B33" s="18" t="s">
        <v>119</v>
      </c>
      <c r="C33" s="19">
        <v>1</v>
      </c>
      <c r="D33" s="19">
        <v>30</v>
      </c>
      <c r="E33" s="22">
        <f t="shared" si="0"/>
        <v>30</v>
      </c>
      <c r="F33" s="20"/>
    </row>
    <row r="34" spans="2:6" ht="18.75">
      <c r="B34" s="18" t="s">
        <v>120</v>
      </c>
      <c r="C34" s="19">
        <v>1</v>
      </c>
      <c r="D34" s="19">
        <v>10</v>
      </c>
      <c r="E34" s="22">
        <f t="shared" si="0"/>
        <v>10</v>
      </c>
      <c r="F34" s="20"/>
    </row>
    <row r="35" spans="2:6" ht="18.75">
      <c r="B35" s="18" t="s">
        <v>122</v>
      </c>
      <c r="C35" s="19">
        <v>1</v>
      </c>
      <c r="D35" s="19">
        <v>20</v>
      </c>
      <c r="E35" s="22">
        <f t="shared" si="0"/>
        <v>20</v>
      </c>
      <c r="F35" s="20"/>
    </row>
    <row r="36" spans="2:6" ht="18.75">
      <c r="B36" s="18" t="s">
        <v>123</v>
      </c>
      <c r="C36" s="19">
        <v>1</v>
      </c>
      <c r="D36" s="19">
        <v>50</v>
      </c>
      <c r="E36" s="22">
        <f t="shared" si="0"/>
        <v>50</v>
      </c>
      <c r="F36" s="20"/>
    </row>
    <row r="37" spans="2:6" ht="18.75">
      <c r="B37" s="18" t="s">
        <v>124</v>
      </c>
      <c r="C37" s="19">
        <v>8</v>
      </c>
      <c r="D37" s="19">
        <v>5</v>
      </c>
      <c r="E37" s="22">
        <f t="shared" si="0"/>
        <v>40</v>
      </c>
      <c r="F37" s="20"/>
    </row>
    <row r="38" spans="2:6" ht="18.75">
      <c r="B38" s="18" t="s">
        <v>125</v>
      </c>
      <c r="C38" s="19">
        <v>1</v>
      </c>
      <c r="D38" s="19">
        <v>100</v>
      </c>
      <c r="E38" s="22">
        <f t="shared" si="0"/>
        <v>100</v>
      </c>
    </row>
    <row r="39" spans="2:6" ht="18.75">
      <c r="B39" s="18" t="s">
        <v>126</v>
      </c>
      <c r="C39" s="19">
        <v>1</v>
      </c>
      <c r="D39" s="19">
        <v>100</v>
      </c>
      <c r="E39" s="22">
        <f t="shared" si="0"/>
        <v>100</v>
      </c>
    </row>
    <row r="40" spans="2:6" ht="18.75">
      <c r="B40" s="18" t="s">
        <v>127</v>
      </c>
      <c r="C40" s="19">
        <v>1</v>
      </c>
      <c r="D40" s="19">
        <v>100</v>
      </c>
      <c r="E40" s="22">
        <f t="shared" si="0"/>
        <v>100</v>
      </c>
    </row>
    <row r="41" spans="2:6" ht="18.75">
      <c r="B41" s="28" t="s">
        <v>152</v>
      </c>
      <c r="E41" s="29">
        <f>SUM(E3:E40)</f>
        <v>8449</v>
      </c>
    </row>
  </sheetData>
  <mergeCells count="1">
    <mergeCell ref="B1:E1"/>
  </mergeCells>
  <pageMargins left="0.7" right="0.7" top="0.75" bottom="0.75" header="0.3" footer="0.3"/>
  <pageSetup paperSize="9" scale="9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B1:E41"/>
  <sheetViews>
    <sheetView topLeftCell="A19" zoomScale="115" zoomScaleNormal="115" workbookViewId="0">
      <selection activeCell="D7" sqref="D7"/>
    </sheetView>
  </sheetViews>
  <sheetFormatPr defaultRowHeight="15"/>
  <cols>
    <col min="2" max="2" width="55.42578125" bestFit="1" customWidth="1"/>
  </cols>
  <sheetData>
    <row r="1" spans="2:5">
      <c r="B1" s="64" t="s">
        <v>162</v>
      </c>
      <c r="C1" s="64"/>
      <c r="D1" s="64"/>
      <c r="E1" s="64"/>
    </row>
    <row r="2" spans="2:5" ht="18.75">
      <c r="B2" s="23" t="s">
        <v>0</v>
      </c>
      <c r="C2" s="24" t="s">
        <v>2</v>
      </c>
      <c r="D2" s="24" t="s">
        <v>1</v>
      </c>
      <c r="E2" s="24" t="s">
        <v>3</v>
      </c>
    </row>
    <row r="3" spans="2:5" s="20" customFormat="1" ht="111" customHeight="1">
      <c r="B3" s="26" t="s">
        <v>139</v>
      </c>
      <c r="C3" s="25">
        <v>40</v>
      </c>
      <c r="D3" s="25">
        <v>33</v>
      </c>
      <c r="E3" s="25">
        <f>C3*D3</f>
        <v>1320</v>
      </c>
    </row>
    <row r="4" spans="2:5" s="20" customFormat="1" ht="43.5" customHeight="1">
      <c r="B4" s="27" t="s">
        <v>130</v>
      </c>
      <c r="C4" s="25">
        <v>40</v>
      </c>
      <c r="D4" s="25">
        <v>20</v>
      </c>
      <c r="E4" s="25">
        <f t="shared" ref="E4:E40" si="0">C4*D4</f>
        <v>800</v>
      </c>
    </row>
    <row r="5" spans="2:5" s="20" customFormat="1" ht="150">
      <c r="B5" s="26" t="s">
        <v>138</v>
      </c>
      <c r="C5" s="25">
        <v>40</v>
      </c>
      <c r="D5" s="25">
        <v>12</v>
      </c>
      <c r="E5" s="25">
        <f t="shared" si="0"/>
        <v>480</v>
      </c>
    </row>
    <row r="6" spans="2:5" ht="18.75">
      <c r="B6" s="18" t="s">
        <v>121</v>
      </c>
      <c r="C6" s="19">
        <v>1</v>
      </c>
      <c r="D6" s="19">
        <v>300</v>
      </c>
      <c r="E6" s="25">
        <f t="shared" si="0"/>
        <v>300</v>
      </c>
    </row>
    <row r="7" spans="2:5" ht="18.75">
      <c r="B7" s="18" t="s">
        <v>132</v>
      </c>
      <c r="C7" s="19">
        <v>2</v>
      </c>
      <c r="D7" s="19">
        <v>25</v>
      </c>
      <c r="E7" s="25">
        <f t="shared" si="0"/>
        <v>50</v>
      </c>
    </row>
    <row r="8" spans="2:5" ht="18.75">
      <c r="B8" s="18" t="s">
        <v>94</v>
      </c>
      <c r="C8" s="19">
        <v>20</v>
      </c>
      <c r="D8" s="19">
        <v>5</v>
      </c>
      <c r="E8" s="25">
        <f t="shared" si="0"/>
        <v>100</v>
      </c>
    </row>
    <row r="9" spans="2:5" ht="18.75">
      <c r="B9" s="18" t="s">
        <v>95</v>
      </c>
      <c r="C9" s="19">
        <v>10</v>
      </c>
      <c r="D9" s="19">
        <v>6</v>
      </c>
      <c r="E9" s="25">
        <f t="shared" si="0"/>
        <v>60</v>
      </c>
    </row>
    <row r="10" spans="2:5" ht="18.75">
      <c r="B10" s="18" t="s">
        <v>97</v>
      </c>
      <c r="C10" s="19">
        <v>15</v>
      </c>
      <c r="D10" s="19">
        <v>3</v>
      </c>
      <c r="E10" s="25">
        <f t="shared" si="0"/>
        <v>45</v>
      </c>
    </row>
    <row r="11" spans="2:5" ht="18.75">
      <c r="B11" s="18" t="s">
        <v>98</v>
      </c>
      <c r="C11" s="19">
        <v>8</v>
      </c>
      <c r="D11" s="19">
        <v>5</v>
      </c>
      <c r="E11" s="25">
        <f t="shared" si="0"/>
        <v>40</v>
      </c>
    </row>
    <row r="12" spans="2:5" ht="18.75">
      <c r="B12" s="18" t="s">
        <v>99</v>
      </c>
      <c r="C12" s="19">
        <v>50</v>
      </c>
      <c r="D12" s="19">
        <v>2</v>
      </c>
      <c r="E12" s="25">
        <f t="shared" si="0"/>
        <v>100</v>
      </c>
    </row>
    <row r="13" spans="2:5" ht="18.75">
      <c r="B13" s="18" t="s">
        <v>100</v>
      </c>
      <c r="C13" s="19">
        <v>20</v>
      </c>
      <c r="D13" s="19">
        <v>2</v>
      </c>
      <c r="E13" s="25">
        <f t="shared" si="0"/>
        <v>40</v>
      </c>
    </row>
    <row r="14" spans="2:5" ht="18.75">
      <c r="B14" s="18" t="s">
        <v>96</v>
      </c>
      <c r="C14" s="19">
        <v>12</v>
      </c>
      <c r="D14" s="19">
        <v>10</v>
      </c>
      <c r="E14" s="25">
        <f t="shared" si="0"/>
        <v>120</v>
      </c>
    </row>
    <row r="15" spans="2:5" ht="18.75">
      <c r="B15" s="18" t="s">
        <v>101</v>
      </c>
      <c r="C15" s="19">
        <v>2</v>
      </c>
      <c r="D15" s="19">
        <v>5</v>
      </c>
      <c r="E15" s="25">
        <f t="shared" si="0"/>
        <v>10</v>
      </c>
    </row>
    <row r="16" spans="2:5" ht="18.75">
      <c r="B16" s="18" t="s">
        <v>102</v>
      </c>
      <c r="C16" s="19">
        <v>10</v>
      </c>
      <c r="D16" s="19">
        <v>4</v>
      </c>
      <c r="E16" s="25">
        <f t="shared" si="0"/>
        <v>40</v>
      </c>
    </row>
    <row r="17" spans="2:5" ht="18.75">
      <c r="B17" s="18" t="s">
        <v>103</v>
      </c>
      <c r="C17" s="19">
        <v>4</v>
      </c>
      <c r="D17" s="19">
        <v>15</v>
      </c>
      <c r="E17" s="25">
        <f t="shared" si="0"/>
        <v>60</v>
      </c>
    </row>
    <row r="18" spans="2:5" ht="18.75">
      <c r="B18" s="18" t="s">
        <v>104</v>
      </c>
      <c r="C18" s="19">
        <v>4</v>
      </c>
      <c r="D18" s="19">
        <v>10</v>
      </c>
      <c r="E18" s="25">
        <f t="shared" si="0"/>
        <v>40</v>
      </c>
    </row>
    <row r="19" spans="2:5" ht="18.75">
      <c r="B19" s="18" t="s">
        <v>105</v>
      </c>
      <c r="C19" s="19">
        <v>4</v>
      </c>
      <c r="D19" s="19">
        <v>7</v>
      </c>
      <c r="E19" s="25">
        <f t="shared" si="0"/>
        <v>28</v>
      </c>
    </row>
    <row r="20" spans="2:5" ht="18.75">
      <c r="B20" s="18" t="s">
        <v>106</v>
      </c>
      <c r="C20" s="19">
        <v>4</v>
      </c>
      <c r="D20" s="19">
        <v>8</v>
      </c>
      <c r="E20" s="25">
        <f t="shared" si="0"/>
        <v>32</v>
      </c>
    </row>
    <row r="21" spans="2:5" ht="18.75">
      <c r="B21" s="18" t="s">
        <v>107</v>
      </c>
      <c r="C21" s="19">
        <v>2</v>
      </c>
      <c r="D21" s="19">
        <v>8</v>
      </c>
      <c r="E21" s="25">
        <f t="shared" si="0"/>
        <v>16</v>
      </c>
    </row>
    <row r="22" spans="2:5" ht="18.75">
      <c r="B22" s="18" t="s">
        <v>109</v>
      </c>
      <c r="C22" s="19">
        <v>2</v>
      </c>
      <c r="D22" s="19">
        <v>50</v>
      </c>
      <c r="E22" s="25">
        <f t="shared" si="0"/>
        <v>100</v>
      </c>
    </row>
    <row r="23" spans="2:5" ht="18.75">
      <c r="B23" s="18" t="s">
        <v>110</v>
      </c>
      <c r="C23" s="19">
        <v>8</v>
      </c>
      <c r="D23" s="19">
        <v>10</v>
      </c>
      <c r="E23" s="25">
        <f t="shared" si="0"/>
        <v>80</v>
      </c>
    </row>
    <row r="24" spans="2:5" ht="18.75">
      <c r="B24" s="18" t="s">
        <v>111</v>
      </c>
      <c r="C24" s="19">
        <v>4</v>
      </c>
      <c r="D24" s="19">
        <v>5</v>
      </c>
      <c r="E24" s="25">
        <f t="shared" si="0"/>
        <v>20</v>
      </c>
    </row>
    <row r="25" spans="2:5" ht="18.75">
      <c r="B25" s="18" t="s">
        <v>112</v>
      </c>
      <c r="C25" s="19">
        <v>16</v>
      </c>
      <c r="D25" s="19">
        <v>7</v>
      </c>
      <c r="E25" s="25">
        <f t="shared" si="0"/>
        <v>112</v>
      </c>
    </row>
    <row r="26" spans="2:5" ht="18.75">
      <c r="B26" s="18" t="s">
        <v>113</v>
      </c>
      <c r="C26" s="19">
        <v>8</v>
      </c>
      <c r="D26" s="19">
        <v>5</v>
      </c>
      <c r="E26" s="25">
        <f t="shared" si="0"/>
        <v>40</v>
      </c>
    </row>
    <row r="27" spans="2:5" ht="18.75">
      <c r="B27" s="18" t="s">
        <v>115</v>
      </c>
      <c r="C27" s="19">
        <v>30</v>
      </c>
      <c r="D27" s="19">
        <v>5</v>
      </c>
      <c r="E27" s="25">
        <f t="shared" si="0"/>
        <v>150</v>
      </c>
    </row>
    <row r="28" spans="2:5" ht="18.75">
      <c r="B28" s="18" t="s">
        <v>116</v>
      </c>
      <c r="C28" s="19">
        <v>16</v>
      </c>
      <c r="D28" s="19">
        <v>5</v>
      </c>
      <c r="E28" s="25">
        <f t="shared" si="0"/>
        <v>80</v>
      </c>
    </row>
    <row r="29" spans="2:5" ht="18.75">
      <c r="B29" s="18" t="s">
        <v>136</v>
      </c>
      <c r="C29" s="19">
        <v>2</v>
      </c>
      <c r="D29" s="19">
        <v>50</v>
      </c>
      <c r="E29" s="25">
        <f t="shared" si="0"/>
        <v>100</v>
      </c>
    </row>
    <row r="30" spans="2:5" ht="18.75">
      <c r="B30" s="18" t="s">
        <v>137</v>
      </c>
      <c r="C30" s="19">
        <v>2</v>
      </c>
      <c r="D30" s="19">
        <v>50</v>
      </c>
      <c r="E30" s="25">
        <f t="shared" si="0"/>
        <v>100</v>
      </c>
    </row>
    <row r="31" spans="2:5" ht="18.75">
      <c r="B31" s="18" t="s">
        <v>117</v>
      </c>
      <c r="C31" s="19">
        <v>8</v>
      </c>
      <c r="D31" s="19">
        <v>40</v>
      </c>
      <c r="E31" s="25">
        <f t="shared" si="0"/>
        <v>320</v>
      </c>
    </row>
    <row r="32" spans="2:5" ht="18.75">
      <c r="B32" s="18" t="s">
        <v>118</v>
      </c>
      <c r="C32" s="19">
        <v>8</v>
      </c>
      <c r="D32" s="19">
        <v>40</v>
      </c>
      <c r="E32" s="25">
        <f t="shared" si="0"/>
        <v>320</v>
      </c>
    </row>
    <row r="33" spans="2:5" ht="18.75">
      <c r="B33" s="18" t="s">
        <v>119</v>
      </c>
      <c r="C33" s="19">
        <v>1</v>
      </c>
      <c r="D33" s="19">
        <v>20</v>
      </c>
      <c r="E33" s="25">
        <f t="shared" si="0"/>
        <v>20</v>
      </c>
    </row>
    <row r="34" spans="2:5" ht="18.75">
      <c r="B34" s="18" t="s">
        <v>120</v>
      </c>
      <c r="C34" s="19">
        <v>1</v>
      </c>
      <c r="D34" s="19">
        <v>10</v>
      </c>
      <c r="E34" s="25">
        <f t="shared" si="0"/>
        <v>10</v>
      </c>
    </row>
    <row r="35" spans="2:5" ht="18.75">
      <c r="B35" s="18" t="s">
        <v>122</v>
      </c>
      <c r="C35" s="19">
        <v>1</v>
      </c>
      <c r="D35" s="19">
        <v>20</v>
      </c>
      <c r="E35" s="25">
        <f t="shared" si="0"/>
        <v>20</v>
      </c>
    </row>
    <row r="36" spans="2:5" ht="18.75">
      <c r="B36" s="18" t="s">
        <v>123</v>
      </c>
      <c r="C36" s="19">
        <v>1</v>
      </c>
      <c r="D36" s="19">
        <v>50</v>
      </c>
      <c r="E36" s="25">
        <f t="shared" si="0"/>
        <v>50</v>
      </c>
    </row>
    <row r="37" spans="2:5" ht="18.75">
      <c r="B37" s="18" t="s">
        <v>124</v>
      </c>
      <c r="C37" s="19">
        <v>5</v>
      </c>
      <c r="D37" s="19">
        <v>5</v>
      </c>
      <c r="E37" s="25">
        <f t="shared" si="0"/>
        <v>25</v>
      </c>
    </row>
    <row r="38" spans="2:5" ht="18.75">
      <c r="B38" s="18" t="s">
        <v>125</v>
      </c>
      <c r="C38" s="19">
        <v>1</v>
      </c>
      <c r="D38" s="19">
        <v>100</v>
      </c>
      <c r="E38" s="25">
        <f t="shared" si="0"/>
        <v>100</v>
      </c>
    </row>
    <row r="39" spans="2:5" ht="18.75">
      <c r="B39" s="18" t="s">
        <v>126</v>
      </c>
      <c r="C39" s="19">
        <v>1</v>
      </c>
      <c r="D39" s="19">
        <v>100</v>
      </c>
      <c r="E39" s="25">
        <f t="shared" si="0"/>
        <v>100</v>
      </c>
    </row>
    <row r="40" spans="2:5" ht="18.75">
      <c r="B40" s="18" t="s">
        <v>127</v>
      </c>
      <c r="C40" s="19">
        <v>1</v>
      </c>
      <c r="D40" s="19">
        <v>100</v>
      </c>
      <c r="E40" s="25">
        <f t="shared" si="0"/>
        <v>100</v>
      </c>
    </row>
    <row r="41" spans="2:5" ht="18.75">
      <c r="E41" s="30">
        <f>SUM(E3:E40)</f>
        <v>5528</v>
      </c>
    </row>
  </sheetData>
  <mergeCells count="1">
    <mergeCell ref="B1:E1"/>
  </mergeCells>
  <pageMargins left="0.7" right="0.7" top="0.75" bottom="0.75" header="0.3" footer="0.3"/>
  <pageSetup paperSize="9" scale="7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B1:E33"/>
  <sheetViews>
    <sheetView workbookViewId="0">
      <selection activeCell="C3" sqref="C3"/>
    </sheetView>
  </sheetViews>
  <sheetFormatPr defaultRowHeight="15"/>
  <cols>
    <col min="2" max="2" width="55.42578125" bestFit="1" customWidth="1"/>
    <col min="5" max="5" width="9.28515625" bestFit="1" customWidth="1"/>
  </cols>
  <sheetData>
    <row r="1" spans="2:5">
      <c r="B1" s="65" t="s">
        <v>163</v>
      </c>
      <c r="C1" s="65"/>
      <c r="D1" s="65"/>
      <c r="E1" s="65"/>
    </row>
    <row r="2" spans="2:5" ht="18.75">
      <c r="B2" s="23" t="s">
        <v>0</v>
      </c>
      <c r="C2" s="24" t="s">
        <v>2</v>
      </c>
      <c r="D2" s="24" t="s">
        <v>1</v>
      </c>
      <c r="E2" s="24" t="s">
        <v>3</v>
      </c>
    </row>
    <row r="3" spans="2:5" s="20" customFormat="1" ht="30.75" customHeight="1">
      <c r="B3" s="26" t="s">
        <v>140</v>
      </c>
      <c r="C3" s="25">
        <v>4</v>
      </c>
      <c r="D3" s="25">
        <v>50</v>
      </c>
      <c r="E3" s="25">
        <f t="shared" ref="E3:E6" si="0">C3*D3</f>
        <v>200</v>
      </c>
    </row>
    <row r="4" spans="2:5" s="20" customFormat="1" ht="28.5" customHeight="1">
      <c r="B4" s="27" t="s">
        <v>130</v>
      </c>
      <c r="C4" s="25">
        <v>4</v>
      </c>
      <c r="D4" s="25">
        <v>27</v>
      </c>
      <c r="E4" s="25">
        <f t="shared" si="0"/>
        <v>108</v>
      </c>
    </row>
    <row r="5" spans="2:5" s="20" customFormat="1" ht="93.75">
      <c r="B5" s="26" t="s">
        <v>141</v>
      </c>
      <c r="C5" s="25">
        <v>12</v>
      </c>
      <c r="D5" s="25">
        <v>20</v>
      </c>
      <c r="E5" s="25">
        <f t="shared" si="0"/>
        <v>240</v>
      </c>
    </row>
    <row r="6" spans="2:5" ht="18.75">
      <c r="B6" s="18" t="s">
        <v>121</v>
      </c>
      <c r="C6" s="19">
        <v>1</v>
      </c>
      <c r="D6" s="19">
        <v>400</v>
      </c>
      <c r="E6" s="19">
        <f t="shared" si="0"/>
        <v>400</v>
      </c>
    </row>
    <row r="7" spans="2:5" ht="18.75">
      <c r="B7" s="18" t="s">
        <v>94</v>
      </c>
      <c r="C7" s="19">
        <v>6</v>
      </c>
      <c r="D7" s="19">
        <v>10</v>
      </c>
      <c r="E7" s="19">
        <f t="shared" ref="E7:E32" si="1">C7*D7</f>
        <v>60</v>
      </c>
    </row>
    <row r="8" spans="2:5" ht="18.75">
      <c r="B8" s="18" t="s">
        <v>97</v>
      </c>
      <c r="C8" s="19">
        <v>12</v>
      </c>
      <c r="D8" s="19">
        <v>7</v>
      </c>
      <c r="E8" s="19">
        <f t="shared" si="1"/>
        <v>84</v>
      </c>
    </row>
    <row r="9" spans="2:5" ht="18.75">
      <c r="B9" s="18" t="s">
        <v>98</v>
      </c>
      <c r="C9" s="19">
        <v>6</v>
      </c>
      <c r="D9" s="19">
        <v>8</v>
      </c>
      <c r="E9" s="19">
        <f t="shared" si="1"/>
        <v>48</v>
      </c>
    </row>
    <row r="10" spans="2:5" ht="18.75">
      <c r="B10" s="18" t="s">
        <v>99</v>
      </c>
      <c r="C10" s="19">
        <v>22</v>
      </c>
      <c r="D10" s="19">
        <v>5</v>
      </c>
      <c r="E10" s="19">
        <f t="shared" si="1"/>
        <v>110</v>
      </c>
    </row>
    <row r="11" spans="2:5" ht="18.75">
      <c r="B11" s="18" t="s">
        <v>100</v>
      </c>
      <c r="C11" s="19">
        <v>10</v>
      </c>
      <c r="D11" s="19">
        <v>6</v>
      </c>
      <c r="E11" s="19">
        <f t="shared" si="1"/>
        <v>60</v>
      </c>
    </row>
    <row r="12" spans="2:5" ht="18.75">
      <c r="B12" s="18" t="s">
        <v>96</v>
      </c>
      <c r="C12" s="19">
        <v>4</v>
      </c>
      <c r="D12" s="19">
        <v>10</v>
      </c>
      <c r="E12" s="19">
        <f t="shared" si="1"/>
        <v>40</v>
      </c>
    </row>
    <row r="13" spans="2:5" ht="18.75">
      <c r="B13" s="18" t="s">
        <v>102</v>
      </c>
      <c r="C13" s="19">
        <v>4</v>
      </c>
      <c r="D13" s="19">
        <v>5</v>
      </c>
      <c r="E13" s="19">
        <f t="shared" si="1"/>
        <v>20</v>
      </c>
    </row>
    <row r="14" spans="2:5" ht="18.75">
      <c r="B14" s="18" t="s">
        <v>110</v>
      </c>
      <c r="C14" s="19">
        <v>6</v>
      </c>
      <c r="D14" s="19">
        <v>10</v>
      </c>
      <c r="E14" s="19">
        <f t="shared" si="1"/>
        <v>60</v>
      </c>
    </row>
    <row r="15" spans="2:5" ht="18.75">
      <c r="B15" s="18" t="s">
        <v>111</v>
      </c>
      <c r="C15" s="19">
        <v>16</v>
      </c>
      <c r="D15" s="19">
        <v>5</v>
      </c>
      <c r="E15" s="19">
        <f t="shared" si="1"/>
        <v>80</v>
      </c>
    </row>
    <row r="16" spans="2:5" ht="18.75">
      <c r="B16" s="18" t="s">
        <v>112</v>
      </c>
      <c r="C16" s="19">
        <v>4</v>
      </c>
      <c r="D16" s="19">
        <v>7</v>
      </c>
      <c r="E16" s="19">
        <f t="shared" si="1"/>
        <v>28</v>
      </c>
    </row>
    <row r="17" spans="2:5" ht="18.75">
      <c r="B17" s="18" t="s">
        <v>113</v>
      </c>
      <c r="C17" s="19">
        <v>4</v>
      </c>
      <c r="D17" s="19">
        <v>5</v>
      </c>
      <c r="E17" s="19">
        <f t="shared" si="1"/>
        <v>20</v>
      </c>
    </row>
    <row r="18" spans="2:5" ht="18.75">
      <c r="B18" s="18" t="s">
        <v>142</v>
      </c>
      <c r="C18" s="19">
        <v>4</v>
      </c>
      <c r="D18" s="19">
        <v>5</v>
      </c>
      <c r="E18" s="19">
        <f t="shared" si="1"/>
        <v>20</v>
      </c>
    </row>
    <row r="19" spans="2:5" ht="18.75">
      <c r="B19" s="18" t="s">
        <v>116</v>
      </c>
      <c r="C19" s="19">
        <v>4</v>
      </c>
      <c r="D19" s="19">
        <v>5</v>
      </c>
      <c r="E19" s="19">
        <f t="shared" si="1"/>
        <v>20</v>
      </c>
    </row>
    <row r="20" spans="2:5" ht="18.75">
      <c r="B20" s="18" t="s">
        <v>136</v>
      </c>
      <c r="C20" s="19">
        <v>2</v>
      </c>
      <c r="D20" s="19">
        <v>115</v>
      </c>
      <c r="E20" s="19">
        <f t="shared" si="1"/>
        <v>230</v>
      </c>
    </row>
    <row r="21" spans="2:5" ht="18.75">
      <c r="B21" s="18" t="s">
        <v>137</v>
      </c>
      <c r="C21" s="19">
        <v>2</v>
      </c>
      <c r="D21" s="19">
        <v>105</v>
      </c>
      <c r="E21" s="19">
        <f t="shared" si="1"/>
        <v>210</v>
      </c>
    </row>
    <row r="22" spans="2:5" ht="18.75">
      <c r="B22" s="18" t="s">
        <v>117</v>
      </c>
      <c r="C22" s="19">
        <v>4</v>
      </c>
      <c r="D22" s="19">
        <v>40</v>
      </c>
      <c r="E22" s="19">
        <f t="shared" si="1"/>
        <v>160</v>
      </c>
    </row>
    <row r="23" spans="2:5" ht="18.75">
      <c r="B23" s="18" t="s">
        <v>118</v>
      </c>
      <c r="C23" s="19">
        <v>2</v>
      </c>
      <c r="D23" s="19">
        <v>40</v>
      </c>
      <c r="E23" s="19">
        <f t="shared" si="1"/>
        <v>80</v>
      </c>
    </row>
    <row r="24" spans="2:5" ht="18.75">
      <c r="B24" s="18" t="s">
        <v>119</v>
      </c>
      <c r="C24" s="19">
        <v>1</v>
      </c>
      <c r="D24" s="19">
        <v>30</v>
      </c>
      <c r="E24" s="19">
        <f t="shared" si="1"/>
        <v>30</v>
      </c>
    </row>
    <row r="25" spans="2:5" ht="18.75">
      <c r="B25" s="18" t="s">
        <v>120</v>
      </c>
      <c r="C25" s="19">
        <v>1</v>
      </c>
      <c r="D25" s="19">
        <v>20</v>
      </c>
      <c r="E25" s="19">
        <f t="shared" si="1"/>
        <v>20</v>
      </c>
    </row>
    <row r="26" spans="2:5" ht="18.75">
      <c r="B26" s="18" t="s">
        <v>122</v>
      </c>
      <c r="C26" s="19">
        <v>1</v>
      </c>
      <c r="D26" s="19">
        <v>20</v>
      </c>
      <c r="E26" s="19">
        <f t="shared" si="1"/>
        <v>20</v>
      </c>
    </row>
    <row r="27" spans="2:5" ht="18.75">
      <c r="B27" s="18" t="s">
        <v>123</v>
      </c>
      <c r="C27" s="19">
        <v>1</v>
      </c>
      <c r="D27" s="19">
        <v>50</v>
      </c>
      <c r="E27" s="19">
        <f t="shared" si="1"/>
        <v>50</v>
      </c>
    </row>
    <row r="28" spans="2:5" ht="18.75">
      <c r="B28" s="18" t="s">
        <v>124</v>
      </c>
      <c r="C28" s="19">
        <v>1</v>
      </c>
      <c r="D28" s="19">
        <v>5</v>
      </c>
      <c r="E28" s="19">
        <f t="shared" si="1"/>
        <v>5</v>
      </c>
    </row>
    <row r="29" spans="2:5" ht="18.75">
      <c r="B29" s="18" t="s">
        <v>125</v>
      </c>
      <c r="C29" s="19">
        <v>1</v>
      </c>
      <c r="D29" s="19">
        <v>100</v>
      </c>
      <c r="E29" s="19">
        <f t="shared" si="1"/>
        <v>100</v>
      </c>
    </row>
    <row r="30" spans="2:5" ht="18.75">
      <c r="B30" s="18" t="s">
        <v>126</v>
      </c>
      <c r="C30" s="19">
        <v>1</v>
      </c>
      <c r="D30" s="19">
        <v>100</v>
      </c>
      <c r="E30" s="19">
        <f t="shared" si="1"/>
        <v>100</v>
      </c>
    </row>
    <row r="31" spans="2:5" ht="18.75">
      <c r="B31" s="18" t="s">
        <v>127</v>
      </c>
      <c r="C31" s="19">
        <v>1</v>
      </c>
      <c r="D31" s="19">
        <v>100</v>
      </c>
      <c r="E31" s="19">
        <f t="shared" si="1"/>
        <v>100</v>
      </c>
    </row>
    <row r="32" spans="2:5" ht="18.75">
      <c r="B32" s="18" t="s">
        <v>143</v>
      </c>
      <c r="C32" s="19">
        <v>1</v>
      </c>
      <c r="D32" s="19">
        <v>150</v>
      </c>
      <c r="E32" s="19">
        <f t="shared" si="1"/>
        <v>150</v>
      </c>
    </row>
    <row r="33" spans="5:5" ht="18.75">
      <c r="E33" s="30">
        <f>SUM(E3:E32)</f>
        <v>2853</v>
      </c>
    </row>
  </sheetData>
  <mergeCells count="1">
    <mergeCell ref="B1:E1"/>
  </mergeCells>
  <pageMargins left="0.7" right="0.7" top="0.75" bottom="0.75" header="0.3" footer="0.3"/>
  <pageSetup paperSize="9" scale="9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2"/>
  <sheetViews>
    <sheetView topLeftCell="A11" workbookViewId="0">
      <selection activeCell="H33" sqref="H33"/>
    </sheetView>
  </sheetViews>
  <sheetFormatPr defaultRowHeight="15"/>
  <cols>
    <col min="1" max="1" width="62.7109375" bestFit="1" customWidth="1"/>
    <col min="2" max="2" width="9" bestFit="1" customWidth="1"/>
    <col min="3" max="3" width="6.85546875" bestFit="1" customWidth="1"/>
    <col min="4" max="4" width="7.28515625" bestFit="1" customWidth="1"/>
  </cols>
  <sheetData>
    <row r="1" spans="1:4" ht="18.75">
      <c r="A1" s="23" t="s">
        <v>0</v>
      </c>
      <c r="B1" s="24" t="s">
        <v>2</v>
      </c>
      <c r="C1" s="24" t="s">
        <v>1</v>
      </c>
      <c r="D1" s="24" t="s">
        <v>3</v>
      </c>
    </row>
    <row r="2" spans="1:4" ht="18.75">
      <c r="A2" s="21" t="s">
        <v>128</v>
      </c>
      <c r="B2" s="22">
        <v>16</v>
      </c>
      <c r="C2" s="22"/>
      <c r="D2" s="22">
        <f t="shared" ref="D2:D9" si="0">B2*C2</f>
        <v>0</v>
      </c>
    </row>
    <row r="3" spans="1:4" ht="18.75">
      <c r="A3" s="21" t="s">
        <v>129</v>
      </c>
      <c r="B3" s="22">
        <v>40</v>
      </c>
      <c r="C3" s="22">
        <v>33</v>
      </c>
      <c r="D3" s="22">
        <f t="shared" si="0"/>
        <v>1320</v>
      </c>
    </row>
    <row r="4" spans="1:4" ht="18.75">
      <c r="A4" s="21" t="s">
        <v>130</v>
      </c>
      <c r="B4" s="22">
        <v>40</v>
      </c>
      <c r="C4" s="22">
        <v>20</v>
      </c>
      <c r="D4" s="22">
        <f t="shared" si="0"/>
        <v>800</v>
      </c>
    </row>
    <row r="5" spans="1:4" ht="18.75">
      <c r="A5" s="21" t="s">
        <v>131</v>
      </c>
      <c r="B5" s="22">
        <v>40</v>
      </c>
      <c r="C5" s="22">
        <v>12</v>
      </c>
      <c r="D5" s="22">
        <f t="shared" si="0"/>
        <v>480</v>
      </c>
    </row>
    <row r="6" spans="1:4" ht="18.75">
      <c r="A6" s="21" t="s">
        <v>132</v>
      </c>
      <c r="B6" s="22">
        <v>4</v>
      </c>
      <c r="C6" s="22"/>
      <c r="D6" s="22">
        <f t="shared" si="0"/>
        <v>0</v>
      </c>
    </row>
    <row r="7" spans="1:4" ht="18.75">
      <c r="A7" s="21" t="s">
        <v>133</v>
      </c>
      <c r="B7" s="22">
        <v>2</v>
      </c>
      <c r="C7" s="22"/>
      <c r="D7" s="22">
        <f t="shared" si="0"/>
        <v>0</v>
      </c>
    </row>
    <row r="8" spans="1:4" ht="18.75">
      <c r="A8" s="21" t="s">
        <v>134</v>
      </c>
      <c r="B8" s="22">
        <v>1</v>
      </c>
      <c r="C8" s="22"/>
      <c r="D8" s="22">
        <f t="shared" si="0"/>
        <v>0</v>
      </c>
    </row>
    <row r="9" spans="1:4" ht="18.75">
      <c r="A9" s="21" t="s">
        <v>135</v>
      </c>
      <c r="B9" s="22">
        <v>1</v>
      </c>
      <c r="C9" s="21"/>
      <c r="D9" s="22">
        <f t="shared" si="0"/>
        <v>0</v>
      </c>
    </row>
    <row r="10" spans="1:4" ht="18.75">
      <c r="A10" s="18" t="s">
        <v>94</v>
      </c>
      <c r="B10" s="19">
        <v>30</v>
      </c>
      <c r="C10" s="19"/>
      <c r="D10" s="19">
        <f t="shared" ref="D10:D42" si="1">B10*C10</f>
        <v>0</v>
      </c>
    </row>
    <row r="11" spans="1:4" ht="18.75">
      <c r="A11" s="18" t="s">
        <v>95</v>
      </c>
      <c r="B11" s="19">
        <v>20</v>
      </c>
      <c r="C11" s="19"/>
      <c r="D11" s="19">
        <f t="shared" si="1"/>
        <v>0</v>
      </c>
    </row>
    <row r="12" spans="1:4" ht="18.75">
      <c r="A12" s="18" t="s">
        <v>97</v>
      </c>
      <c r="B12" s="19">
        <v>30</v>
      </c>
      <c r="C12" s="19"/>
      <c r="D12" s="19">
        <f t="shared" si="1"/>
        <v>0</v>
      </c>
    </row>
    <row r="13" spans="1:4" ht="18.75">
      <c r="A13" s="18" t="s">
        <v>98</v>
      </c>
      <c r="B13" s="19">
        <v>20</v>
      </c>
      <c r="C13" s="19"/>
      <c r="D13" s="19">
        <f t="shared" si="1"/>
        <v>0</v>
      </c>
    </row>
    <row r="14" spans="1:4" ht="18.75">
      <c r="A14" s="18" t="s">
        <v>99</v>
      </c>
      <c r="B14" s="19">
        <v>50</v>
      </c>
      <c r="C14" s="19"/>
      <c r="D14" s="19">
        <f t="shared" si="1"/>
        <v>0</v>
      </c>
    </row>
    <row r="15" spans="1:4" ht="18.75">
      <c r="A15" s="18" t="s">
        <v>100</v>
      </c>
      <c r="B15" s="19">
        <v>30</v>
      </c>
      <c r="C15" s="19"/>
      <c r="D15" s="19">
        <f t="shared" si="1"/>
        <v>0</v>
      </c>
    </row>
    <row r="16" spans="1:4" ht="18.75">
      <c r="A16" s="18" t="s">
        <v>96</v>
      </c>
      <c r="B16" s="19">
        <v>10</v>
      </c>
      <c r="C16" s="19"/>
      <c r="D16" s="19">
        <f t="shared" si="1"/>
        <v>0</v>
      </c>
    </row>
    <row r="17" spans="1:4" ht="18.75">
      <c r="A17" s="18" t="s">
        <v>101</v>
      </c>
      <c r="B17" s="19">
        <v>10</v>
      </c>
      <c r="C17" s="19"/>
      <c r="D17" s="19">
        <f t="shared" si="1"/>
        <v>0</v>
      </c>
    </row>
    <row r="18" spans="1:4" ht="18.75">
      <c r="A18" s="18" t="s">
        <v>102</v>
      </c>
      <c r="B18" s="19">
        <v>10</v>
      </c>
      <c r="C18" s="19"/>
      <c r="D18" s="19">
        <f t="shared" si="1"/>
        <v>0</v>
      </c>
    </row>
    <row r="19" spans="1:4" ht="18.75">
      <c r="A19" s="18" t="s">
        <v>103</v>
      </c>
      <c r="B19" s="19">
        <v>6</v>
      </c>
      <c r="C19" s="19"/>
      <c r="D19" s="19">
        <f t="shared" si="1"/>
        <v>0</v>
      </c>
    </row>
    <row r="20" spans="1:4" ht="18.75">
      <c r="A20" s="18" t="s">
        <v>104</v>
      </c>
      <c r="B20" s="19">
        <v>6</v>
      </c>
      <c r="C20" s="19"/>
      <c r="D20" s="19">
        <f t="shared" si="1"/>
        <v>0</v>
      </c>
    </row>
    <row r="21" spans="1:4" ht="18.75">
      <c r="A21" s="18" t="s">
        <v>105</v>
      </c>
      <c r="B21" s="19">
        <v>6</v>
      </c>
      <c r="C21" s="19"/>
      <c r="D21" s="19">
        <f t="shared" si="1"/>
        <v>0</v>
      </c>
    </row>
    <row r="22" spans="1:4" ht="18.75">
      <c r="A22" s="18" t="s">
        <v>106</v>
      </c>
      <c r="B22" s="19">
        <v>8</v>
      </c>
      <c r="C22" s="19"/>
      <c r="D22" s="19">
        <f t="shared" si="1"/>
        <v>0</v>
      </c>
    </row>
    <row r="23" spans="1:4" ht="18.75">
      <c r="A23" s="18" t="s">
        <v>107</v>
      </c>
      <c r="B23" s="19">
        <v>6</v>
      </c>
      <c r="C23" s="19"/>
      <c r="D23" s="19">
        <f t="shared" si="1"/>
        <v>0</v>
      </c>
    </row>
    <row r="24" spans="1:4" ht="18.75">
      <c r="A24" s="18" t="s">
        <v>108</v>
      </c>
      <c r="B24" s="19">
        <v>6</v>
      </c>
      <c r="C24" s="19"/>
      <c r="D24" s="19">
        <f t="shared" si="1"/>
        <v>0</v>
      </c>
    </row>
    <row r="25" spans="1:4" ht="18.75">
      <c r="A25" s="18" t="s">
        <v>109</v>
      </c>
      <c r="B25" s="19">
        <v>2</v>
      </c>
      <c r="C25" s="19"/>
      <c r="D25" s="19">
        <f t="shared" si="1"/>
        <v>0</v>
      </c>
    </row>
    <row r="26" spans="1:4" ht="18.75">
      <c r="A26" s="18" t="s">
        <v>110</v>
      </c>
      <c r="B26" s="19">
        <v>8</v>
      </c>
      <c r="C26" s="19"/>
      <c r="D26" s="19">
        <f t="shared" si="1"/>
        <v>0</v>
      </c>
    </row>
    <row r="27" spans="1:4" ht="18.75">
      <c r="A27" s="18" t="s">
        <v>111</v>
      </c>
      <c r="B27" s="19">
        <v>8</v>
      </c>
      <c r="C27" s="19"/>
      <c r="D27" s="19">
        <f t="shared" si="1"/>
        <v>0</v>
      </c>
    </row>
    <row r="28" spans="1:4" ht="18.75">
      <c r="A28" s="18" t="s">
        <v>112</v>
      </c>
      <c r="B28" s="19">
        <v>30</v>
      </c>
      <c r="C28" s="19"/>
      <c r="D28" s="19">
        <f t="shared" si="1"/>
        <v>0</v>
      </c>
    </row>
    <row r="29" spans="1:4" ht="18.75">
      <c r="A29" s="18" t="s">
        <v>113</v>
      </c>
      <c r="B29" s="19">
        <v>6</v>
      </c>
      <c r="C29" s="19"/>
      <c r="D29" s="19">
        <f t="shared" si="1"/>
        <v>0</v>
      </c>
    </row>
    <row r="30" spans="1:4" ht="18.75">
      <c r="A30" s="18" t="s">
        <v>114</v>
      </c>
      <c r="B30" s="19">
        <v>30</v>
      </c>
      <c r="C30" s="19"/>
      <c r="D30" s="19">
        <f t="shared" si="1"/>
        <v>0</v>
      </c>
    </row>
    <row r="31" spans="1:4" ht="18.75">
      <c r="A31" s="18" t="s">
        <v>115</v>
      </c>
      <c r="B31" s="19">
        <v>40</v>
      </c>
      <c r="C31" s="19"/>
      <c r="D31" s="19">
        <f t="shared" si="1"/>
        <v>0</v>
      </c>
    </row>
    <row r="32" spans="1:4" ht="18.75">
      <c r="A32" s="18" t="s">
        <v>116</v>
      </c>
      <c r="B32" s="19">
        <v>15</v>
      </c>
      <c r="C32" s="19"/>
      <c r="D32" s="19">
        <f t="shared" si="1"/>
        <v>0</v>
      </c>
    </row>
    <row r="33" spans="1:4" ht="18.75">
      <c r="A33" s="18" t="s">
        <v>117</v>
      </c>
      <c r="B33" s="19">
        <v>30</v>
      </c>
      <c r="C33" s="19"/>
      <c r="D33" s="19">
        <f t="shared" si="1"/>
        <v>0</v>
      </c>
    </row>
    <row r="34" spans="1:4" ht="18.75">
      <c r="A34" s="18" t="s">
        <v>118</v>
      </c>
      <c r="B34" s="19">
        <v>25</v>
      </c>
      <c r="C34" s="19"/>
      <c r="D34" s="19">
        <f t="shared" si="1"/>
        <v>0</v>
      </c>
    </row>
    <row r="35" spans="1:4" ht="18.75">
      <c r="A35" s="18" t="s">
        <v>119</v>
      </c>
      <c r="B35" s="19">
        <v>1</v>
      </c>
      <c r="C35" s="19"/>
      <c r="D35" s="19">
        <f t="shared" si="1"/>
        <v>0</v>
      </c>
    </row>
    <row r="36" spans="1:4" ht="18.75">
      <c r="A36" s="18" t="s">
        <v>120</v>
      </c>
      <c r="B36" s="19">
        <v>1</v>
      </c>
      <c r="C36" s="19"/>
      <c r="D36" s="19">
        <f t="shared" si="1"/>
        <v>0</v>
      </c>
    </row>
    <row r="37" spans="1:4" ht="18.75">
      <c r="A37" s="18" t="s">
        <v>122</v>
      </c>
      <c r="B37" s="19">
        <v>1</v>
      </c>
      <c r="C37" s="19"/>
      <c r="D37" s="19">
        <f t="shared" si="1"/>
        <v>0</v>
      </c>
    </row>
    <row r="38" spans="1:4" ht="18.75">
      <c r="A38" s="18" t="s">
        <v>123</v>
      </c>
      <c r="B38" s="19">
        <v>1</v>
      </c>
      <c r="C38" s="19"/>
      <c r="D38" s="19">
        <f t="shared" si="1"/>
        <v>0</v>
      </c>
    </row>
    <row r="39" spans="1:4" ht="18.75">
      <c r="A39" s="18" t="s">
        <v>124</v>
      </c>
      <c r="B39" s="19">
        <v>8</v>
      </c>
      <c r="C39" s="19"/>
      <c r="D39" s="19">
        <f t="shared" si="1"/>
        <v>0</v>
      </c>
    </row>
    <row r="40" spans="1:4" ht="18.75">
      <c r="A40" s="18" t="s">
        <v>125</v>
      </c>
      <c r="B40" s="19">
        <v>1</v>
      </c>
      <c r="C40" s="19"/>
      <c r="D40" s="19">
        <f t="shared" si="1"/>
        <v>0</v>
      </c>
    </row>
    <row r="41" spans="1:4" ht="18.75">
      <c r="A41" s="18" t="s">
        <v>126</v>
      </c>
      <c r="B41" s="19">
        <v>1</v>
      </c>
      <c r="C41" s="19"/>
      <c r="D41" s="19">
        <f t="shared" si="1"/>
        <v>0</v>
      </c>
    </row>
    <row r="42" spans="1:4" ht="18.75">
      <c r="A42" s="18" t="s">
        <v>127</v>
      </c>
      <c r="B42" s="19">
        <v>1</v>
      </c>
      <c r="C42" s="19"/>
      <c r="D42" s="19">
        <f t="shared" si="1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1"/>
  <sheetViews>
    <sheetView topLeftCell="A9" workbookViewId="0">
      <selection activeCell="D42" sqref="D42"/>
    </sheetView>
  </sheetViews>
  <sheetFormatPr defaultRowHeight="15"/>
  <cols>
    <col min="1" max="1" width="41.42578125" bestFit="1" customWidth="1"/>
    <col min="3" max="3" width="5" bestFit="1" customWidth="1"/>
    <col min="4" max="4" width="17.5703125" customWidth="1"/>
  </cols>
  <sheetData>
    <row r="1" spans="1:4" ht="15.75">
      <c r="A1" s="31" t="s">
        <v>165</v>
      </c>
      <c r="B1" t="s">
        <v>180</v>
      </c>
      <c r="C1" t="s">
        <v>181</v>
      </c>
      <c r="D1" t="s">
        <v>185</v>
      </c>
    </row>
    <row r="2" spans="1:4" ht="15.75">
      <c r="A2" s="31" t="s">
        <v>166</v>
      </c>
      <c r="B2">
        <v>2</v>
      </c>
      <c r="C2">
        <v>250</v>
      </c>
      <c r="D2">
        <f>B2*C2</f>
        <v>500</v>
      </c>
    </row>
    <row r="3" spans="1:4" ht="15.75">
      <c r="A3" s="31" t="s">
        <v>167</v>
      </c>
      <c r="B3">
        <v>1</v>
      </c>
      <c r="C3">
        <v>500</v>
      </c>
      <c r="D3">
        <f t="shared" ref="D3:D38" si="0">B3*C3</f>
        <v>500</v>
      </c>
    </row>
    <row r="4" spans="1:4" ht="15.75">
      <c r="A4" s="31" t="s">
        <v>168</v>
      </c>
      <c r="B4">
        <v>8</v>
      </c>
      <c r="C4">
        <v>100</v>
      </c>
      <c r="D4">
        <f t="shared" si="0"/>
        <v>800</v>
      </c>
    </row>
    <row r="5" spans="1:4" ht="15.75">
      <c r="A5" s="31" t="s">
        <v>169</v>
      </c>
      <c r="B5">
        <v>2</v>
      </c>
      <c r="C5">
        <v>50</v>
      </c>
      <c r="D5">
        <f t="shared" si="0"/>
        <v>100</v>
      </c>
    </row>
    <row r="6" spans="1:4" ht="15.75">
      <c r="A6" s="31" t="s">
        <v>170</v>
      </c>
      <c r="B6">
        <v>2</v>
      </c>
      <c r="C6">
        <v>50</v>
      </c>
      <c r="D6">
        <f t="shared" si="0"/>
        <v>100</v>
      </c>
    </row>
    <row r="7" spans="1:4" ht="15.75">
      <c r="A7" s="31" t="s">
        <v>171</v>
      </c>
      <c r="B7">
        <v>2</v>
      </c>
      <c r="C7">
        <v>100</v>
      </c>
      <c r="D7">
        <f t="shared" si="0"/>
        <v>200</v>
      </c>
    </row>
    <row r="8" spans="1:4" ht="15.75">
      <c r="A8" s="31" t="s">
        <v>172</v>
      </c>
      <c r="B8">
        <v>3</v>
      </c>
      <c r="C8">
        <v>20</v>
      </c>
      <c r="D8">
        <f t="shared" si="0"/>
        <v>60</v>
      </c>
    </row>
    <row r="9" spans="1:4" ht="15.75">
      <c r="A9" s="31" t="s">
        <v>173</v>
      </c>
      <c r="B9">
        <v>1</v>
      </c>
      <c r="C9">
        <v>600</v>
      </c>
      <c r="D9">
        <f t="shared" si="0"/>
        <v>600</v>
      </c>
    </row>
    <row r="10" spans="1:4" ht="15.75">
      <c r="A10" s="31" t="s">
        <v>174</v>
      </c>
      <c r="B10">
        <v>1</v>
      </c>
      <c r="C10">
        <v>600</v>
      </c>
      <c r="D10">
        <f t="shared" si="0"/>
        <v>600</v>
      </c>
    </row>
    <row r="11" spans="1:4" ht="15.75">
      <c r="A11" s="31" t="s">
        <v>175</v>
      </c>
      <c r="B11">
        <v>2</v>
      </c>
      <c r="C11">
        <v>25</v>
      </c>
      <c r="D11">
        <f t="shared" si="0"/>
        <v>50</v>
      </c>
    </row>
    <row r="12" spans="1:4" ht="15.75">
      <c r="A12" s="31" t="s">
        <v>176</v>
      </c>
      <c r="B12">
        <v>2</v>
      </c>
      <c r="C12">
        <v>25</v>
      </c>
      <c r="D12">
        <f t="shared" si="0"/>
        <v>50</v>
      </c>
    </row>
    <row r="13" spans="1:4" ht="15.75">
      <c r="A13" s="31" t="s">
        <v>177</v>
      </c>
      <c r="B13">
        <v>2</v>
      </c>
      <c r="C13">
        <v>250</v>
      </c>
      <c r="D13">
        <f t="shared" si="0"/>
        <v>500</v>
      </c>
    </row>
    <row r="14" spans="1:4" ht="15.75">
      <c r="A14" s="31" t="s">
        <v>178</v>
      </c>
      <c r="B14">
        <v>2</v>
      </c>
      <c r="C14">
        <v>20</v>
      </c>
      <c r="D14">
        <f t="shared" si="0"/>
        <v>40</v>
      </c>
    </row>
    <row r="15" spans="1:4" ht="15.75">
      <c r="A15" s="31" t="s">
        <v>179</v>
      </c>
      <c r="B15">
        <v>1</v>
      </c>
      <c r="C15">
        <v>2000</v>
      </c>
      <c r="D15">
        <f t="shared" si="0"/>
        <v>2000</v>
      </c>
    </row>
    <row r="16" spans="1:4" ht="15.75">
      <c r="A16" s="31" t="s">
        <v>182</v>
      </c>
      <c r="B16">
        <v>35</v>
      </c>
      <c r="C16">
        <v>250</v>
      </c>
      <c r="D16">
        <f t="shared" si="0"/>
        <v>8750</v>
      </c>
    </row>
    <row r="17" spans="1:4" ht="15.75">
      <c r="A17" s="31" t="s">
        <v>183</v>
      </c>
      <c r="B17">
        <v>35</v>
      </c>
      <c r="C17">
        <v>150</v>
      </c>
      <c r="D17">
        <f t="shared" si="0"/>
        <v>5250</v>
      </c>
    </row>
    <row r="18" spans="1:4" ht="15.75">
      <c r="A18" s="31" t="s">
        <v>145</v>
      </c>
      <c r="D18">
        <f t="shared" si="0"/>
        <v>0</v>
      </c>
    </row>
    <row r="19" spans="1:4" ht="15.75">
      <c r="A19" s="31" t="s">
        <v>67</v>
      </c>
      <c r="B19">
        <v>20</v>
      </c>
      <c r="C19">
        <v>25</v>
      </c>
      <c r="D19">
        <f t="shared" si="0"/>
        <v>500</v>
      </c>
    </row>
    <row r="20" spans="1:4" ht="18" customHeight="1">
      <c r="A20" s="31" t="s">
        <v>61</v>
      </c>
      <c r="B20">
        <v>2</v>
      </c>
      <c r="C20">
        <v>50</v>
      </c>
      <c r="D20">
        <f t="shared" si="0"/>
        <v>100</v>
      </c>
    </row>
    <row r="21" spans="1:4" ht="15.75">
      <c r="A21" s="34" t="s">
        <v>35</v>
      </c>
      <c r="B21">
        <v>1</v>
      </c>
      <c r="C21">
        <v>25</v>
      </c>
      <c r="D21">
        <f t="shared" si="0"/>
        <v>25</v>
      </c>
    </row>
    <row r="22" spans="1:4" ht="15.75">
      <c r="A22" s="34" t="s">
        <v>4</v>
      </c>
      <c r="B22">
        <v>1</v>
      </c>
      <c r="C22">
        <v>50</v>
      </c>
      <c r="D22">
        <f t="shared" si="0"/>
        <v>50</v>
      </c>
    </row>
    <row r="23" spans="1:4" ht="15.75">
      <c r="A23" s="34" t="s">
        <v>7</v>
      </c>
      <c r="B23">
        <v>1</v>
      </c>
      <c r="C23">
        <v>25</v>
      </c>
      <c r="D23">
        <f t="shared" si="0"/>
        <v>25</v>
      </c>
    </row>
    <row r="24" spans="1:4" ht="15.75">
      <c r="A24" s="31" t="s">
        <v>154</v>
      </c>
      <c r="B24">
        <v>1</v>
      </c>
      <c r="C24">
        <v>600</v>
      </c>
      <c r="D24">
        <f t="shared" si="0"/>
        <v>600</v>
      </c>
    </row>
    <row r="25" spans="1:4" ht="15.75">
      <c r="A25" s="31" t="s">
        <v>184</v>
      </c>
      <c r="B25">
        <v>1</v>
      </c>
      <c r="C25">
        <v>500</v>
      </c>
      <c r="D25">
        <f t="shared" si="0"/>
        <v>500</v>
      </c>
    </row>
    <row r="26" spans="1:4" ht="15.75">
      <c r="A26" s="31" t="s">
        <v>148</v>
      </c>
      <c r="B26">
        <v>3</v>
      </c>
      <c r="C26">
        <v>0</v>
      </c>
      <c r="D26">
        <f t="shared" si="0"/>
        <v>0</v>
      </c>
    </row>
    <row r="27" spans="1:4" ht="15.75">
      <c r="A27" s="34" t="s">
        <v>27</v>
      </c>
      <c r="B27">
        <v>3</v>
      </c>
      <c r="C27">
        <v>200</v>
      </c>
      <c r="D27">
        <f t="shared" si="0"/>
        <v>600</v>
      </c>
    </row>
    <row r="28" spans="1:4" ht="15.75">
      <c r="A28" s="34" t="s">
        <v>28</v>
      </c>
      <c r="B28">
        <v>0</v>
      </c>
      <c r="C28">
        <v>200</v>
      </c>
      <c r="D28">
        <f t="shared" si="0"/>
        <v>0</v>
      </c>
    </row>
    <row r="29" spans="1:4" ht="15.75">
      <c r="A29" s="34" t="s">
        <v>30</v>
      </c>
      <c r="B29">
        <v>10</v>
      </c>
      <c r="C29">
        <v>10</v>
      </c>
      <c r="D29">
        <f t="shared" si="0"/>
        <v>100</v>
      </c>
    </row>
    <row r="30" spans="1:4" ht="23.25" customHeight="1">
      <c r="A30" s="31" t="s">
        <v>146</v>
      </c>
      <c r="B30">
        <v>5</v>
      </c>
      <c r="C30">
        <v>25</v>
      </c>
      <c r="D30">
        <f t="shared" si="0"/>
        <v>125</v>
      </c>
    </row>
    <row r="31" spans="1:4" ht="15.75">
      <c r="A31" s="31" t="s">
        <v>82</v>
      </c>
      <c r="B31">
        <v>1</v>
      </c>
      <c r="C31">
        <v>50</v>
      </c>
      <c r="D31">
        <f t="shared" si="0"/>
        <v>50</v>
      </c>
    </row>
    <row r="32" spans="1:4" ht="15.75">
      <c r="A32" s="31" t="s">
        <v>55</v>
      </c>
      <c r="B32">
        <v>1</v>
      </c>
      <c r="C32">
        <v>100</v>
      </c>
      <c r="D32">
        <f t="shared" si="0"/>
        <v>100</v>
      </c>
    </row>
    <row r="33" spans="1:4" ht="15.75">
      <c r="A33" s="31" t="s">
        <v>158</v>
      </c>
      <c r="B33">
        <v>5</v>
      </c>
      <c r="C33">
        <v>10</v>
      </c>
      <c r="D33">
        <f t="shared" si="0"/>
        <v>50</v>
      </c>
    </row>
    <row r="34" spans="1:4" ht="15.75">
      <c r="A34" s="31" t="s">
        <v>88</v>
      </c>
      <c r="B34">
        <v>5</v>
      </c>
      <c r="C34">
        <v>25</v>
      </c>
      <c r="D34">
        <f t="shared" si="0"/>
        <v>125</v>
      </c>
    </row>
    <row r="35" spans="1:4" ht="15.75">
      <c r="A35" s="31" t="s">
        <v>57</v>
      </c>
      <c r="B35">
        <v>2</v>
      </c>
      <c r="C35">
        <v>100</v>
      </c>
      <c r="D35">
        <f t="shared" si="0"/>
        <v>200</v>
      </c>
    </row>
    <row r="36" spans="1:4" ht="15.75">
      <c r="A36" s="31" t="s">
        <v>151</v>
      </c>
      <c r="B36">
        <v>20</v>
      </c>
      <c r="C36">
        <v>10</v>
      </c>
      <c r="D36">
        <f t="shared" si="0"/>
        <v>200</v>
      </c>
    </row>
    <row r="37" spans="1:4" ht="15.75">
      <c r="A37" s="31" t="s">
        <v>186</v>
      </c>
      <c r="B37">
        <v>1</v>
      </c>
      <c r="C37">
        <v>3000</v>
      </c>
      <c r="D37">
        <f t="shared" si="0"/>
        <v>3000</v>
      </c>
    </row>
    <row r="38" spans="1:4" ht="15.75">
      <c r="A38" s="31" t="s">
        <v>70</v>
      </c>
      <c r="B38">
        <v>1</v>
      </c>
      <c r="C38">
        <v>250</v>
      </c>
      <c r="D38">
        <f t="shared" si="0"/>
        <v>250</v>
      </c>
    </row>
    <row r="39" spans="1:4" ht="15.75">
      <c r="A39" s="46" t="s">
        <v>152</v>
      </c>
      <c r="D39">
        <f>SUM(D2:D38)</f>
        <v>26700</v>
      </c>
    </row>
    <row r="40" spans="1:4" ht="15.75">
      <c r="A40" s="46" t="s">
        <v>187</v>
      </c>
      <c r="D40">
        <f>1.2*D39</f>
        <v>32040</v>
      </c>
    </row>
    <row r="41" spans="1:4">
      <c r="D41" s="47">
        <v>42000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>
      <selection activeCell="A23" sqref="A3:A23"/>
    </sheetView>
  </sheetViews>
  <sheetFormatPr defaultRowHeight="15"/>
  <cols>
    <col min="1" max="1" width="41.42578125" bestFit="1" customWidth="1"/>
    <col min="2" max="2" width="8.7109375" bestFit="1" customWidth="1"/>
  </cols>
  <sheetData>
    <row r="1" spans="1:4" ht="15.75">
      <c r="A1" s="63" t="s">
        <v>161</v>
      </c>
      <c r="B1" s="63"/>
      <c r="C1" s="63"/>
      <c r="D1" s="63"/>
    </row>
    <row r="2" spans="1:4" ht="15.75">
      <c r="A2" s="31" t="s">
        <v>48</v>
      </c>
      <c r="B2" s="32" t="s">
        <v>50</v>
      </c>
      <c r="C2" s="32" t="s">
        <v>46</v>
      </c>
      <c r="D2" s="32" t="s">
        <v>81</v>
      </c>
    </row>
    <row r="3" spans="1:4" ht="15.75">
      <c r="A3" s="31" t="s">
        <v>188</v>
      </c>
      <c r="B3" s="32">
        <v>10</v>
      </c>
      <c r="C3" s="32">
        <v>20</v>
      </c>
      <c r="D3" s="32">
        <f t="shared" ref="D3:D19" si="0">B3*C3</f>
        <v>200</v>
      </c>
    </row>
    <row r="4" spans="1:4" ht="15.75">
      <c r="A4" s="31" t="s">
        <v>219</v>
      </c>
      <c r="B4" s="32">
        <v>4</v>
      </c>
      <c r="C4" s="32">
        <v>25</v>
      </c>
      <c r="D4" s="32">
        <f t="shared" si="0"/>
        <v>100</v>
      </c>
    </row>
    <row r="5" spans="1:4" ht="15.75">
      <c r="A5" s="31" t="s">
        <v>220</v>
      </c>
      <c r="B5" s="32">
        <v>1</v>
      </c>
      <c r="C5" s="32">
        <v>90</v>
      </c>
      <c r="D5" s="32">
        <f t="shared" si="0"/>
        <v>90</v>
      </c>
    </row>
    <row r="6" spans="1:4" ht="15.75">
      <c r="A6" s="31" t="s">
        <v>217</v>
      </c>
      <c r="B6" s="32">
        <v>1</v>
      </c>
      <c r="C6" s="32">
        <v>600</v>
      </c>
      <c r="D6" s="32">
        <f t="shared" si="0"/>
        <v>600</v>
      </c>
    </row>
    <row r="7" spans="1:4" ht="15.75">
      <c r="A7" s="31" t="s">
        <v>229</v>
      </c>
      <c r="B7" s="32">
        <v>1</v>
      </c>
      <c r="C7" s="32">
        <v>800</v>
      </c>
      <c r="D7" s="32">
        <f t="shared" si="0"/>
        <v>800</v>
      </c>
    </row>
    <row r="8" spans="1:4" ht="15.75">
      <c r="A8" s="52" t="s">
        <v>214</v>
      </c>
      <c r="B8" s="53">
        <v>4</v>
      </c>
      <c r="C8" s="53">
        <v>250</v>
      </c>
      <c r="D8" s="53">
        <f t="shared" si="0"/>
        <v>1000</v>
      </c>
    </row>
    <row r="9" spans="1:4" ht="15.75">
      <c r="A9" s="34" t="s">
        <v>27</v>
      </c>
      <c r="B9" s="35">
        <v>3</v>
      </c>
      <c r="C9" s="32">
        <v>250</v>
      </c>
      <c r="D9" s="32">
        <f t="shared" si="0"/>
        <v>750</v>
      </c>
    </row>
    <row r="10" spans="1:4" ht="15.75">
      <c r="A10" s="34" t="s">
        <v>28</v>
      </c>
      <c r="B10" s="35">
        <v>1</v>
      </c>
      <c r="C10" s="32">
        <v>200</v>
      </c>
      <c r="D10" s="32">
        <f t="shared" si="0"/>
        <v>200</v>
      </c>
    </row>
    <row r="11" spans="1:4" ht="15.75">
      <c r="A11" s="34" t="s">
        <v>30</v>
      </c>
      <c r="B11" s="35">
        <v>5</v>
      </c>
      <c r="C11" s="32">
        <v>10</v>
      </c>
      <c r="D11" s="32">
        <f t="shared" si="0"/>
        <v>50</v>
      </c>
    </row>
    <row r="12" spans="1:4" ht="15.75">
      <c r="A12" s="31" t="s">
        <v>146</v>
      </c>
      <c r="B12" s="32">
        <v>4</v>
      </c>
      <c r="C12" s="32">
        <v>30</v>
      </c>
      <c r="D12" s="32">
        <f t="shared" si="0"/>
        <v>120</v>
      </c>
    </row>
    <row r="13" spans="1:4" ht="15.75">
      <c r="A13" s="31" t="s">
        <v>82</v>
      </c>
      <c r="B13" s="32">
        <v>1</v>
      </c>
      <c r="C13" s="32">
        <v>50</v>
      </c>
      <c r="D13" s="32">
        <f t="shared" si="0"/>
        <v>50</v>
      </c>
    </row>
    <row r="14" spans="1:4" ht="15.75">
      <c r="A14" s="31" t="s">
        <v>55</v>
      </c>
      <c r="B14" s="32">
        <v>1</v>
      </c>
      <c r="C14" s="32">
        <v>125</v>
      </c>
      <c r="D14" s="32">
        <f t="shared" si="0"/>
        <v>125</v>
      </c>
    </row>
    <row r="15" spans="1:4" ht="15.75">
      <c r="A15" s="31" t="s">
        <v>158</v>
      </c>
      <c r="B15" s="32">
        <v>2</v>
      </c>
      <c r="C15" s="32">
        <v>10</v>
      </c>
      <c r="D15" s="32">
        <f t="shared" si="0"/>
        <v>20</v>
      </c>
    </row>
    <row r="16" spans="1:4" ht="15.75">
      <c r="A16" s="31" t="s">
        <v>88</v>
      </c>
      <c r="B16" s="32">
        <v>1</v>
      </c>
      <c r="C16" s="32">
        <v>30</v>
      </c>
      <c r="D16" s="32">
        <f t="shared" si="0"/>
        <v>30</v>
      </c>
    </row>
    <row r="17" spans="1:4" ht="15.75">
      <c r="A17" s="31" t="s">
        <v>57</v>
      </c>
      <c r="B17" s="32">
        <v>1</v>
      </c>
      <c r="C17" s="32">
        <v>250</v>
      </c>
      <c r="D17" s="32">
        <f t="shared" si="0"/>
        <v>250</v>
      </c>
    </row>
    <row r="18" spans="1:4" ht="15.75">
      <c r="A18" s="31" t="s">
        <v>84</v>
      </c>
      <c r="B18" s="32">
        <v>1</v>
      </c>
      <c r="C18" s="32">
        <v>250</v>
      </c>
      <c r="D18" s="32">
        <f t="shared" si="0"/>
        <v>250</v>
      </c>
    </row>
    <row r="19" spans="1:4" ht="15.75">
      <c r="A19" s="49" t="s">
        <v>227</v>
      </c>
      <c r="B19" s="13">
        <v>18</v>
      </c>
      <c r="C19" s="13">
        <v>170</v>
      </c>
      <c r="D19" s="13">
        <f t="shared" si="0"/>
        <v>3060</v>
      </c>
    </row>
    <row r="20" spans="1:4" ht="15.75">
      <c r="A20" s="54" t="s">
        <v>151</v>
      </c>
      <c r="B20" s="55">
        <v>20</v>
      </c>
      <c r="C20" s="55">
        <v>12</v>
      </c>
      <c r="D20" s="55">
        <f t="shared" ref="D20:D23" si="1">B20*C20</f>
        <v>240</v>
      </c>
    </row>
    <row r="21" spans="1:4" ht="15.75">
      <c r="A21" s="54" t="s">
        <v>230</v>
      </c>
      <c r="B21" s="55">
        <v>250</v>
      </c>
      <c r="C21" s="55">
        <f>B19</f>
        <v>18</v>
      </c>
      <c r="D21" s="55">
        <f>B21*C21</f>
        <v>4500</v>
      </c>
    </row>
    <row r="22" spans="1:4" ht="15.75">
      <c r="A22" s="54" t="s">
        <v>186</v>
      </c>
      <c r="B22" s="55">
        <v>1</v>
      </c>
      <c r="C22" s="55">
        <v>2500</v>
      </c>
      <c r="D22" s="55">
        <f t="shared" si="1"/>
        <v>2500</v>
      </c>
    </row>
    <row r="23" spans="1:4" ht="15.75">
      <c r="A23" s="31" t="s">
        <v>202</v>
      </c>
      <c r="B23" s="32">
        <v>4</v>
      </c>
      <c r="C23" s="32">
        <v>200</v>
      </c>
      <c r="D23" s="32">
        <f t="shared" si="1"/>
        <v>800</v>
      </c>
    </row>
    <row r="24" spans="1:4" ht="15.75">
      <c r="A24" s="31" t="s">
        <v>152</v>
      </c>
      <c r="B24" s="32"/>
      <c r="C24" s="32"/>
      <c r="D24" s="32">
        <f>SUM(D3:D23)</f>
        <v>15735</v>
      </c>
    </row>
    <row r="25" spans="1:4" ht="15.75">
      <c r="A25" s="58" t="s">
        <v>231</v>
      </c>
      <c r="D25" s="59">
        <f>D24*1.2</f>
        <v>18882</v>
      </c>
    </row>
    <row r="26" spans="1:4" ht="15.75">
      <c r="A26" s="58" t="s">
        <v>232</v>
      </c>
      <c r="D26">
        <f>D25*1.2</f>
        <v>22658.399999999998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5DEC6C-7A81-4200-95D4-18A46E3445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Gaz Tesisatı</vt:lpstr>
      <vt:lpstr>Kısa Kolon</vt:lpstr>
      <vt:lpstr>Kolon</vt:lpstr>
      <vt:lpstr>Full</vt:lpstr>
      <vt:lpstr>HAT KAYDIRMA+KOMBİ MONTAJ </vt:lpstr>
      <vt:lpstr>ALTI HAZIR KOMBİ MONTAJ </vt:lpstr>
      <vt:lpstr>KAZAN FULL</vt:lpstr>
      <vt:lpstr>shut off</vt:lpstr>
      <vt:lpstr>DÜKKAN KAYNAKLI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laptop</dc:creator>
  <cp:lastModifiedBy>msi laptop</cp:lastModifiedBy>
  <cp:lastPrinted>2023-05-22T20:17:14Z</cp:lastPrinted>
  <dcterms:created xsi:type="dcterms:W3CDTF">2023-04-06T19:49:35Z</dcterms:created>
  <dcterms:modified xsi:type="dcterms:W3CDTF">2026-01-10T11:00:34Z</dcterms:modified>
</cp:coreProperties>
</file>